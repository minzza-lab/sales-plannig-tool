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sw\OneDrive\Desktop\"/>
    </mc:Choice>
  </mc:AlternateContent>
  <xr:revisionPtr revIDLastSave="0" documentId="13_ncr:1_{C8B06DA9-CEE2-42E5-8276-D223B303553F}" xr6:coauthVersionLast="47" xr6:coauthVersionMax="47" xr10:uidLastSave="{00000000-0000-0000-0000-000000000000}"/>
  <bookViews>
    <workbookView xWindow="2655" yWindow="2520" windowWidth="21600" windowHeight="11295" firstSheet="6" activeTab="12" xr2:uid="{A9A223FC-7655-4951-9776-97BC8C397264}"/>
  </bookViews>
  <sheets>
    <sheet name="0415" sheetId="2" r:id="rId1"/>
    <sheet name="기준" sheetId="4" r:id="rId2"/>
    <sheet name="0416" sheetId="5" r:id="rId3"/>
    <sheet name="0420" sheetId="6" r:id="rId4"/>
    <sheet name="0421" sheetId="7" r:id="rId5"/>
    <sheet name="0423" sheetId="8" r:id="rId6"/>
    <sheet name="0427(동기간추가)" sheetId="9" r:id="rId7"/>
    <sheet name="0429" sheetId="11" r:id="rId8"/>
    <sheet name="0501" sheetId="12" r:id="rId9"/>
    <sheet name="0502" sheetId="13" r:id="rId10"/>
    <sheet name="0504" sheetId="14" r:id="rId11"/>
    <sheet name="0505" sheetId="15" r:id="rId12"/>
    <sheet name="0508" sheetId="16" r:id="rId13"/>
    <sheet name="숨기기확인必" sheetId="10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1" i="16" l="1"/>
  <c r="P81" i="16"/>
  <c r="O81" i="16"/>
  <c r="N81" i="16"/>
  <c r="M81" i="16"/>
  <c r="L81" i="16"/>
  <c r="K81" i="16"/>
  <c r="J81" i="16"/>
  <c r="I81" i="16"/>
  <c r="H81" i="16"/>
  <c r="G81" i="16"/>
  <c r="F81" i="16"/>
  <c r="F82" i="16" s="1"/>
  <c r="O80" i="16"/>
  <c r="N80" i="16"/>
  <c r="K80" i="16"/>
  <c r="J80" i="16"/>
  <c r="H79" i="16"/>
  <c r="J79" i="16" s="1"/>
  <c r="F79" i="16"/>
  <c r="N78" i="16"/>
  <c r="J78" i="16"/>
  <c r="I78" i="16"/>
  <c r="K78" i="16" s="1"/>
  <c r="G78" i="16"/>
  <c r="Q77" i="16"/>
  <c r="P77" i="16"/>
  <c r="N77" i="16"/>
  <c r="J77" i="16"/>
  <c r="I77" i="16"/>
  <c r="K77" i="16" s="1"/>
  <c r="G77" i="16"/>
  <c r="Q76" i="16"/>
  <c r="Q79" i="16" s="1"/>
  <c r="P76" i="16"/>
  <c r="P79" i="16" s="1"/>
  <c r="N76" i="16"/>
  <c r="J76" i="16"/>
  <c r="I76" i="16"/>
  <c r="K76" i="16" s="1"/>
  <c r="G76" i="16"/>
  <c r="P75" i="16"/>
  <c r="M75" i="16"/>
  <c r="L75" i="16"/>
  <c r="H75" i="16"/>
  <c r="F75" i="16"/>
  <c r="N74" i="16"/>
  <c r="J74" i="16"/>
  <c r="I74" i="16"/>
  <c r="O74" i="16" s="1"/>
  <c r="G74" i="16"/>
  <c r="N73" i="16"/>
  <c r="J73" i="16"/>
  <c r="I73" i="16"/>
  <c r="K73" i="16" s="1"/>
  <c r="G73" i="16"/>
  <c r="Q72" i="16"/>
  <c r="Q75" i="16" s="1"/>
  <c r="N72" i="16"/>
  <c r="J72" i="16"/>
  <c r="I72" i="16"/>
  <c r="G72" i="16"/>
  <c r="Q69" i="16"/>
  <c r="Q70" i="16" s="1"/>
  <c r="P69" i="16"/>
  <c r="M69" i="16"/>
  <c r="L69" i="16"/>
  <c r="H69" i="16"/>
  <c r="J69" i="16" s="1"/>
  <c r="F69" i="16"/>
  <c r="N68" i="16"/>
  <c r="K68" i="16"/>
  <c r="J68" i="16"/>
  <c r="I68" i="16"/>
  <c r="O68" i="16" s="1"/>
  <c r="G68" i="16"/>
  <c r="N67" i="16"/>
  <c r="J67" i="16"/>
  <c r="I67" i="16"/>
  <c r="O67" i="16" s="1"/>
  <c r="N66" i="16"/>
  <c r="J66" i="16"/>
  <c r="I66" i="16"/>
  <c r="K66" i="16" s="1"/>
  <c r="G66" i="16"/>
  <c r="G69" i="16" s="1"/>
  <c r="Q65" i="16"/>
  <c r="P65" i="16"/>
  <c r="N65" i="16"/>
  <c r="M65" i="16"/>
  <c r="L65" i="16"/>
  <c r="H65" i="16"/>
  <c r="J65" i="16" s="1"/>
  <c r="F65" i="16"/>
  <c r="F70" i="16" s="1"/>
  <c r="F71" i="16" s="1"/>
  <c r="N64" i="16"/>
  <c r="J64" i="16"/>
  <c r="I64" i="16"/>
  <c r="O64" i="16" s="1"/>
  <c r="G64" i="16"/>
  <c r="N63" i="16"/>
  <c r="J63" i="16"/>
  <c r="I63" i="16"/>
  <c r="K63" i="16" s="1"/>
  <c r="N62" i="16"/>
  <c r="J62" i="16"/>
  <c r="I62" i="16"/>
  <c r="I65" i="16" s="1"/>
  <c r="G62" i="16"/>
  <c r="Q60" i="16"/>
  <c r="P60" i="16"/>
  <c r="M60" i="16"/>
  <c r="L60" i="16"/>
  <c r="H60" i="16"/>
  <c r="G60" i="16"/>
  <c r="F60" i="16"/>
  <c r="N59" i="16"/>
  <c r="J59" i="16"/>
  <c r="I59" i="16"/>
  <c r="K59" i="16" s="1"/>
  <c r="G59" i="16"/>
  <c r="N58" i="16"/>
  <c r="K58" i="16"/>
  <c r="J58" i="16"/>
  <c r="I58" i="16"/>
  <c r="O58" i="16" s="1"/>
  <c r="N57" i="16"/>
  <c r="K57" i="16"/>
  <c r="J57" i="16"/>
  <c r="I57" i="16"/>
  <c r="O57" i="16" s="1"/>
  <c r="G57" i="16"/>
  <c r="Q56" i="16"/>
  <c r="Q61" i="16" s="1"/>
  <c r="P56" i="16"/>
  <c r="P61" i="16" s="1"/>
  <c r="M56" i="16"/>
  <c r="L56" i="16"/>
  <c r="H56" i="16"/>
  <c r="N56" i="16" s="1"/>
  <c r="F56" i="16"/>
  <c r="F61" i="16" s="1"/>
  <c r="N55" i="16"/>
  <c r="J55" i="16"/>
  <c r="I55" i="16"/>
  <c r="K55" i="16" s="1"/>
  <c r="G55" i="16"/>
  <c r="N54" i="16"/>
  <c r="K54" i="16"/>
  <c r="J54" i="16"/>
  <c r="I54" i="16"/>
  <c r="O54" i="16" s="1"/>
  <c r="N53" i="16"/>
  <c r="J53" i="16"/>
  <c r="I53" i="16"/>
  <c r="I56" i="16" s="1"/>
  <c r="G53" i="16"/>
  <c r="G56" i="16" s="1"/>
  <c r="Q51" i="16"/>
  <c r="P51" i="16"/>
  <c r="M51" i="16"/>
  <c r="L51" i="16"/>
  <c r="H51" i="16"/>
  <c r="J51" i="16" s="1"/>
  <c r="F51" i="16"/>
  <c r="N50" i="16"/>
  <c r="J50" i="16"/>
  <c r="I50" i="16"/>
  <c r="K50" i="16" s="1"/>
  <c r="G50" i="16"/>
  <c r="N49" i="16"/>
  <c r="K49" i="16"/>
  <c r="J49" i="16"/>
  <c r="I49" i="16"/>
  <c r="O49" i="16" s="1"/>
  <c r="N48" i="16"/>
  <c r="J48" i="16"/>
  <c r="I48" i="16"/>
  <c r="K48" i="16" s="1"/>
  <c r="G48" i="16"/>
  <c r="G51" i="16" s="1"/>
  <c r="Q47" i="16"/>
  <c r="P47" i="16"/>
  <c r="M47" i="16"/>
  <c r="L47" i="16"/>
  <c r="F47" i="16"/>
  <c r="F52" i="16" s="1"/>
  <c r="N46" i="16"/>
  <c r="J46" i="16"/>
  <c r="I46" i="16"/>
  <c r="O46" i="16" s="1"/>
  <c r="G46" i="16"/>
  <c r="N45" i="16"/>
  <c r="J45" i="16"/>
  <c r="I45" i="16"/>
  <c r="K45" i="16" s="1"/>
  <c r="H44" i="16"/>
  <c r="N44" i="16" s="1"/>
  <c r="G44" i="16"/>
  <c r="G47" i="16" s="1"/>
  <c r="Q42" i="16"/>
  <c r="O42" i="16" s="1"/>
  <c r="P42" i="16"/>
  <c r="N42" i="16"/>
  <c r="K42" i="16"/>
  <c r="J42" i="16"/>
  <c r="O41" i="16"/>
  <c r="N41" i="16"/>
  <c r="K41" i="16"/>
  <c r="J41" i="16"/>
  <c r="O40" i="16"/>
  <c r="N40" i="16"/>
  <c r="K40" i="16"/>
  <c r="J40" i="16"/>
  <c r="O39" i="16"/>
  <c r="N39" i="16"/>
  <c r="K39" i="16"/>
  <c r="J39" i="16"/>
  <c r="O38" i="16"/>
  <c r="N38" i="16"/>
  <c r="K38" i="16"/>
  <c r="J38" i="16"/>
  <c r="O37" i="16"/>
  <c r="N37" i="16"/>
  <c r="K37" i="16"/>
  <c r="J37" i="16"/>
  <c r="Q36" i="16"/>
  <c r="P36" i="16"/>
  <c r="P43" i="16" s="1"/>
  <c r="M36" i="16"/>
  <c r="M43" i="16" s="1"/>
  <c r="L36" i="16"/>
  <c r="L43" i="16" s="1"/>
  <c r="H36" i="16"/>
  <c r="F36" i="16"/>
  <c r="F43" i="16" s="1"/>
  <c r="N35" i="16"/>
  <c r="K35" i="16"/>
  <c r="J35" i="16"/>
  <c r="I35" i="16"/>
  <c r="I36" i="16" s="1"/>
  <c r="G35" i="16"/>
  <c r="G36" i="16" s="1"/>
  <c r="G43" i="16" s="1"/>
  <c r="Q32" i="16"/>
  <c r="Q33" i="16" s="1"/>
  <c r="P32" i="16"/>
  <c r="M32" i="16"/>
  <c r="L32" i="16"/>
  <c r="H32" i="16"/>
  <c r="H33" i="16" s="1"/>
  <c r="F32" i="16"/>
  <c r="N31" i="16"/>
  <c r="J31" i="16"/>
  <c r="I31" i="16"/>
  <c r="K31" i="16" s="1"/>
  <c r="G31" i="16"/>
  <c r="N30" i="16"/>
  <c r="J30" i="16"/>
  <c r="I30" i="16"/>
  <c r="O30" i="16" s="1"/>
  <c r="G30" i="16"/>
  <c r="N29" i="16"/>
  <c r="J29" i="16"/>
  <c r="I29" i="16"/>
  <c r="K29" i="16" s="1"/>
  <c r="G29" i="16"/>
  <c r="Q28" i="16"/>
  <c r="P28" i="16"/>
  <c r="M28" i="16"/>
  <c r="L28" i="16"/>
  <c r="H28" i="16"/>
  <c r="J28" i="16" s="1"/>
  <c r="F28" i="16"/>
  <c r="N27" i="16"/>
  <c r="J27" i="16"/>
  <c r="I27" i="16"/>
  <c r="O27" i="16" s="1"/>
  <c r="G27" i="16"/>
  <c r="N26" i="16"/>
  <c r="J26" i="16"/>
  <c r="I26" i="16"/>
  <c r="K26" i="16" s="1"/>
  <c r="G26" i="16"/>
  <c r="N25" i="16"/>
  <c r="J25" i="16"/>
  <c r="I25" i="16"/>
  <c r="I28" i="16" s="1"/>
  <c r="G25" i="16"/>
  <c r="Q23" i="16"/>
  <c r="M23" i="16"/>
  <c r="M24" i="16" s="1"/>
  <c r="L23" i="16"/>
  <c r="L24" i="16" s="1"/>
  <c r="H23" i="16"/>
  <c r="F23" i="16"/>
  <c r="N22" i="16"/>
  <c r="J22" i="16"/>
  <c r="I22" i="16"/>
  <c r="K22" i="16" s="1"/>
  <c r="G22" i="16"/>
  <c r="Q21" i="16"/>
  <c r="P21" i="16"/>
  <c r="N21" i="16" s="1"/>
  <c r="J21" i="16"/>
  <c r="I21" i="16"/>
  <c r="K21" i="16" s="1"/>
  <c r="G21" i="16"/>
  <c r="Q20" i="16"/>
  <c r="P20" i="16"/>
  <c r="P23" i="16" s="1"/>
  <c r="N20" i="16"/>
  <c r="J20" i="16"/>
  <c r="I20" i="16"/>
  <c r="O20" i="16" s="1"/>
  <c r="G20" i="16"/>
  <c r="Q19" i="16"/>
  <c r="P19" i="16"/>
  <c r="M19" i="16"/>
  <c r="L19" i="16"/>
  <c r="H19" i="16"/>
  <c r="F19" i="16"/>
  <c r="N18" i="16"/>
  <c r="J18" i="16"/>
  <c r="I18" i="16"/>
  <c r="O18" i="16" s="1"/>
  <c r="G18" i="16"/>
  <c r="O17" i="16"/>
  <c r="N17" i="16"/>
  <c r="J17" i="16"/>
  <c r="I17" i="16"/>
  <c r="K17" i="16" s="1"/>
  <c r="G17" i="16"/>
  <c r="N16" i="16"/>
  <c r="K16" i="16"/>
  <c r="J16" i="16"/>
  <c r="I16" i="16"/>
  <c r="G16" i="16"/>
  <c r="G19" i="16" s="1"/>
  <c r="P14" i="16"/>
  <c r="M14" i="16"/>
  <c r="L14" i="16"/>
  <c r="H14" i="16"/>
  <c r="J14" i="16" s="1"/>
  <c r="F14" i="16"/>
  <c r="N13" i="16"/>
  <c r="K13" i="16"/>
  <c r="J13" i="16"/>
  <c r="I13" i="16"/>
  <c r="O13" i="16" s="1"/>
  <c r="G13" i="16"/>
  <c r="Q12" i="16"/>
  <c r="Q14" i="16" s="1"/>
  <c r="N12" i="16"/>
  <c r="J12" i="16"/>
  <c r="I12" i="16"/>
  <c r="K12" i="16" s="1"/>
  <c r="G12" i="16"/>
  <c r="Q11" i="16"/>
  <c r="N11" i="16"/>
  <c r="J11" i="16"/>
  <c r="I11" i="16"/>
  <c r="I14" i="16" s="1"/>
  <c r="G11" i="16"/>
  <c r="M10" i="16"/>
  <c r="M15" i="16" s="1"/>
  <c r="L10" i="16"/>
  <c r="F10" i="16"/>
  <c r="F15" i="16" s="1"/>
  <c r="N9" i="16"/>
  <c r="J9" i="16"/>
  <c r="I9" i="16"/>
  <c r="O9" i="16" s="1"/>
  <c r="G9" i="16"/>
  <c r="N8" i="16"/>
  <c r="J8" i="16"/>
  <c r="I8" i="16"/>
  <c r="K8" i="16" s="1"/>
  <c r="Q7" i="16"/>
  <c r="Q10" i="16" s="1"/>
  <c r="P7" i="16"/>
  <c r="P10" i="16" s="1"/>
  <c r="H7" i="16"/>
  <c r="J7" i="16" s="1"/>
  <c r="G7" i="16"/>
  <c r="Q81" i="15"/>
  <c r="P81" i="15"/>
  <c r="O81" i="15"/>
  <c r="M81" i="15"/>
  <c r="M82" i="15" s="1"/>
  <c r="L81" i="15"/>
  <c r="L82" i="15" s="1"/>
  <c r="K81" i="15"/>
  <c r="I81" i="15"/>
  <c r="H81" i="15"/>
  <c r="G81" i="15"/>
  <c r="F81" i="15"/>
  <c r="O80" i="15"/>
  <c r="N80" i="15"/>
  <c r="K80" i="15"/>
  <c r="J80" i="15"/>
  <c r="J79" i="15"/>
  <c r="H79" i="15"/>
  <c r="F79" i="15"/>
  <c r="O78" i="15"/>
  <c r="N78" i="15"/>
  <c r="J78" i="15"/>
  <c r="I78" i="15"/>
  <c r="K78" i="15" s="1"/>
  <c r="G78" i="15"/>
  <c r="Q77" i="15"/>
  <c r="P77" i="15"/>
  <c r="N77" i="15" s="1"/>
  <c r="J77" i="15"/>
  <c r="I77" i="15"/>
  <c r="K77" i="15" s="1"/>
  <c r="G77" i="15"/>
  <c r="G79" i="15" s="1"/>
  <c r="Q76" i="15"/>
  <c r="Q79" i="15" s="1"/>
  <c r="P76" i="15"/>
  <c r="J76" i="15"/>
  <c r="I76" i="15"/>
  <c r="K76" i="15" s="1"/>
  <c r="G76" i="15"/>
  <c r="P75" i="15"/>
  <c r="M75" i="15"/>
  <c r="L75" i="15"/>
  <c r="H75" i="15"/>
  <c r="F75" i="15"/>
  <c r="N74" i="15"/>
  <c r="K74" i="15"/>
  <c r="J74" i="15"/>
  <c r="I74" i="15"/>
  <c r="O74" i="15" s="1"/>
  <c r="G74" i="15"/>
  <c r="O73" i="15"/>
  <c r="N73" i="15"/>
  <c r="J73" i="15"/>
  <c r="I73" i="15"/>
  <c r="K73" i="15" s="1"/>
  <c r="G73" i="15"/>
  <c r="Q72" i="15"/>
  <c r="Q75" i="15" s="1"/>
  <c r="O72" i="15"/>
  <c r="N72" i="15"/>
  <c r="J72" i="15"/>
  <c r="I72" i="15"/>
  <c r="G72" i="15"/>
  <c r="G75" i="15" s="1"/>
  <c r="F70" i="15"/>
  <c r="F71" i="15" s="1"/>
  <c r="Q69" i="15"/>
  <c r="Q70" i="15" s="1"/>
  <c r="P69" i="15"/>
  <c r="N69" i="15"/>
  <c r="M69" i="15"/>
  <c r="M70" i="15" s="1"/>
  <c r="L69" i="15"/>
  <c r="J69" i="15"/>
  <c r="H69" i="15"/>
  <c r="G69" i="15"/>
  <c r="F69" i="15"/>
  <c r="N68" i="15"/>
  <c r="K68" i="15"/>
  <c r="J68" i="15"/>
  <c r="I68" i="15"/>
  <c r="O68" i="15" s="1"/>
  <c r="G68" i="15"/>
  <c r="N67" i="15"/>
  <c r="J67" i="15"/>
  <c r="I67" i="15"/>
  <c r="K67" i="15" s="1"/>
  <c r="N66" i="15"/>
  <c r="J66" i="15"/>
  <c r="I66" i="15"/>
  <c r="G66" i="15"/>
  <c r="Q65" i="15"/>
  <c r="P65" i="15"/>
  <c r="M65" i="15"/>
  <c r="L65" i="15"/>
  <c r="H65" i="15"/>
  <c r="F65" i="15"/>
  <c r="N64" i="15"/>
  <c r="K64" i="15"/>
  <c r="J64" i="15"/>
  <c r="I64" i="15"/>
  <c r="O64" i="15" s="1"/>
  <c r="G64" i="15"/>
  <c r="G65" i="15" s="1"/>
  <c r="G70" i="15" s="1"/>
  <c r="O63" i="15"/>
  <c r="N63" i="15"/>
  <c r="J63" i="15"/>
  <c r="I63" i="15"/>
  <c r="N62" i="15"/>
  <c r="K62" i="15"/>
  <c r="J62" i="15"/>
  <c r="I62" i="15"/>
  <c r="O62" i="15" s="1"/>
  <c r="G62" i="15"/>
  <c r="L61" i="15"/>
  <c r="Q60" i="15"/>
  <c r="P60" i="15"/>
  <c r="P61" i="15" s="1"/>
  <c r="M60" i="15"/>
  <c r="L60" i="15"/>
  <c r="I60" i="15"/>
  <c r="H60" i="15"/>
  <c r="F60" i="15"/>
  <c r="O59" i="15"/>
  <c r="N59" i="15"/>
  <c r="J59" i="15"/>
  <c r="I59" i="15"/>
  <c r="K59" i="15" s="1"/>
  <c r="G59" i="15"/>
  <c r="N58" i="15"/>
  <c r="K58" i="15"/>
  <c r="J58" i="15"/>
  <c r="I58" i="15"/>
  <c r="O58" i="15" s="1"/>
  <c r="N57" i="15"/>
  <c r="K57" i="15"/>
  <c r="J57" i="15"/>
  <c r="I57" i="15"/>
  <c r="O57" i="15" s="1"/>
  <c r="G57" i="15"/>
  <c r="G60" i="15" s="1"/>
  <c r="Q56" i="15"/>
  <c r="Q61" i="15" s="1"/>
  <c r="P56" i="15"/>
  <c r="N56" i="15"/>
  <c r="M56" i="15"/>
  <c r="M61" i="15" s="1"/>
  <c r="L56" i="15"/>
  <c r="J56" i="15"/>
  <c r="H56" i="15"/>
  <c r="F56" i="15"/>
  <c r="F61" i="15" s="1"/>
  <c r="N55" i="15"/>
  <c r="J55" i="15"/>
  <c r="I55" i="15"/>
  <c r="K55" i="15" s="1"/>
  <c r="G55" i="15"/>
  <c r="N54" i="15"/>
  <c r="K54" i="15"/>
  <c r="J54" i="15"/>
  <c r="I54" i="15"/>
  <c r="O54" i="15" s="1"/>
  <c r="O53" i="15"/>
  <c r="N53" i="15"/>
  <c r="J53" i="15"/>
  <c r="I53" i="15"/>
  <c r="K53" i="15" s="1"/>
  <c r="G53" i="15"/>
  <c r="G56" i="15" s="1"/>
  <c r="F52" i="15"/>
  <c r="Q51" i="15"/>
  <c r="Q52" i="15" s="1"/>
  <c r="P51" i="15"/>
  <c r="N51" i="15"/>
  <c r="M51" i="15"/>
  <c r="M52" i="15" s="1"/>
  <c r="L51" i="15"/>
  <c r="J51" i="15"/>
  <c r="H51" i="15"/>
  <c r="G51" i="15"/>
  <c r="F51" i="15"/>
  <c r="N50" i="15"/>
  <c r="K50" i="15"/>
  <c r="J50" i="15"/>
  <c r="I50" i="15"/>
  <c r="O50" i="15" s="1"/>
  <c r="G50" i="15"/>
  <c r="N49" i="15"/>
  <c r="J49" i="15"/>
  <c r="I49" i="15"/>
  <c r="K49" i="15" s="1"/>
  <c r="N48" i="15"/>
  <c r="J48" i="15"/>
  <c r="I48" i="15"/>
  <c r="G48" i="15"/>
  <c r="Q47" i="15"/>
  <c r="P47" i="15"/>
  <c r="M47" i="15"/>
  <c r="L47" i="15"/>
  <c r="H47" i="15"/>
  <c r="F47" i="15"/>
  <c r="N46" i="15"/>
  <c r="K46" i="15"/>
  <c r="J46" i="15"/>
  <c r="I46" i="15"/>
  <c r="O46" i="15" s="1"/>
  <c r="G46" i="15"/>
  <c r="O45" i="15"/>
  <c r="N45" i="15"/>
  <c r="J45" i="15"/>
  <c r="I45" i="15"/>
  <c r="K45" i="15" s="1"/>
  <c r="K44" i="15"/>
  <c r="J44" i="15"/>
  <c r="I44" i="15"/>
  <c r="H44" i="15"/>
  <c r="N44" i="15" s="1"/>
  <c r="G44" i="15"/>
  <c r="G47" i="15" s="1"/>
  <c r="G52" i="15" s="1"/>
  <c r="M43" i="15"/>
  <c r="Q42" i="15"/>
  <c r="O42" i="15" s="1"/>
  <c r="P42" i="15"/>
  <c r="P43" i="15" s="1"/>
  <c r="N42" i="15"/>
  <c r="K42" i="15"/>
  <c r="J42" i="15"/>
  <c r="O41" i="15"/>
  <c r="N41" i="15"/>
  <c r="K41" i="15"/>
  <c r="J41" i="15"/>
  <c r="O40" i="15"/>
  <c r="N40" i="15"/>
  <c r="K40" i="15"/>
  <c r="J40" i="15"/>
  <c r="O39" i="15"/>
  <c r="N39" i="15"/>
  <c r="K39" i="15"/>
  <c r="J39" i="15"/>
  <c r="O38" i="15"/>
  <c r="N38" i="15"/>
  <c r="K38" i="15"/>
  <c r="J38" i="15"/>
  <c r="O37" i="15"/>
  <c r="N37" i="15"/>
  <c r="K37" i="15"/>
  <c r="J37" i="15"/>
  <c r="Q36" i="15"/>
  <c r="P36" i="15"/>
  <c r="M36" i="15"/>
  <c r="L36" i="15"/>
  <c r="L43" i="15" s="1"/>
  <c r="H36" i="15"/>
  <c r="G36" i="15"/>
  <c r="G43" i="15" s="1"/>
  <c r="F36" i="15"/>
  <c r="F43" i="15" s="1"/>
  <c r="N35" i="15"/>
  <c r="J35" i="15"/>
  <c r="I35" i="15"/>
  <c r="I36" i="15" s="1"/>
  <c r="I43" i="15" s="1"/>
  <c r="G35" i="15"/>
  <c r="Q33" i="15"/>
  <c r="M33" i="15"/>
  <c r="Q32" i="15"/>
  <c r="P32" i="15"/>
  <c r="M32" i="15"/>
  <c r="L32" i="15"/>
  <c r="H32" i="15"/>
  <c r="J32" i="15" s="1"/>
  <c r="F32" i="15"/>
  <c r="F33" i="15" s="1"/>
  <c r="O31" i="15"/>
  <c r="N31" i="15"/>
  <c r="J31" i="15"/>
  <c r="I31" i="15"/>
  <c r="K31" i="15" s="1"/>
  <c r="G31" i="15"/>
  <c r="N30" i="15"/>
  <c r="K30" i="15"/>
  <c r="J30" i="15"/>
  <c r="I30" i="15"/>
  <c r="O30" i="15" s="1"/>
  <c r="G30" i="15"/>
  <c r="N29" i="15"/>
  <c r="J29" i="15"/>
  <c r="I29" i="15"/>
  <c r="G29" i="15"/>
  <c r="Q28" i="15"/>
  <c r="P28" i="15"/>
  <c r="P33" i="15" s="1"/>
  <c r="M28" i="15"/>
  <c r="L28" i="15"/>
  <c r="H28" i="15"/>
  <c r="F28" i="15"/>
  <c r="N27" i="15"/>
  <c r="J27" i="15"/>
  <c r="I27" i="15"/>
  <c r="O27" i="15" s="1"/>
  <c r="G27" i="15"/>
  <c r="O26" i="15"/>
  <c r="N26" i="15"/>
  <c r="J26" i="15"/>
  <c r="I26" i="15"/>
  <c r="K26" i="15" s="1"/>
  <c r="G26" i="15"/>
  <c r="N25" i="15"/>
  <c r="K25" i="15"/>
  <c r="J25" i="15"/>
  <c r="I25" i="15"/>
  <c r="G25" i="15"/>
  <c r="G28" i="15" s="1"/>
  <c r="M24" i="15"/>
  <c r="Q23" i="15"/>
  <c r="Q24" i="15" s="1"/>
  <c r="M23" i="15"/>
  <c r="L23" i="15"/>
  <c r="L24" i="15" s="1"/>
  <c r="J23" i="15"/>
  <c r="H23" i="15"/>
  <c r="F23" i="15"/>
  <c r="F24" i="15" s="1"/>
  <c r="O22" i="15"/>
  <c r="N22" i="15"/>
  <c r="J22" i="15"/>
  <c r="I22" i="15"/>
  <c r="K22" i="15" s="1"/>
  <c r="G22" i="15"/>
  <c r="Q21" i="15"/>
  <c r="P21" i="15"/>
  <c r="N21" i="15" s="1"/>
  <c r="J21" i="15"/>
  <c r="I21" i="15"/>
  <c r="K21" i="15" s="1"/>
  <c r="G21" i="15"/>
  <c r="Q20" i="15"/>
  <c r="P20" i="15"/>
  <c r="J20" i="15"/>
  <c r="I20" i="15"/>
  <c r="K20" i="15" s="1"/>
  <c r="G20" i="15"/>
  <c r="G23" i="15" s="1"/>
  <c r="Q19" i="15"/>
  <c r="P19" i="15"/>
  <c r="M19" i="15"/>
  <c r="L19" i="15"/>
  <c r="H19" i="15"/>
  <c r="F19" i="15"/>
  <c r="N18" i="15"/>
  <c r="K18" i="15"/>
  <c r="J18" i="15"/>
  <c r="I18" i="15"/>
  <c r="O18" i="15" s="1"/>
  <c r="G18" i="15"/>
  <c r="O17" i="15"/>
  <c r="N17" i="15"/>
  <c r="J17" i="15"/>
  <c r="I17" i="15"/>
  <c r="K17" i="15" s="1"/>
  <c r="G17" i="15"/>
  <c r="N16" i="15"/>
  <c r="K16" i="15"/>
  <c r="J16" i="15"/>
  <c r="I16" i="15"/>
  <c r="I19" i="15" s="1"/>
  <c r="K19" i="15" s="1"/>
  <c r="G16" i="15"/>
  <c r="G19" i="15" s="1"/>
  <c r="Q14" i="15"/>
  <c r="P14" i="15"/>
  <c r="N14" i="15"/>
  <c r="M14" i="15"/>
  <c r="L14" i="15"/>
  <c r="L15" i="15" s="1"/>
  <c r="J14" i="15"/>
  <c r="H14" i="15"/>
  <c r="F14" i="15"/>
  <c r="O13" i="15"/>
  <c r="N13" i="15"/>
  <c r="J13" i="15"/>
  <c r="I13" i="15"/>
  <c r="K13" i="15" s="1"/>
  <c r="G13" i="15"/>
  <c r="Q12" i="15"/>
  <c r="N12" i="15"/>
  <c r="J12" i="15"/>
  <c r="I12" i="15"/>
  <c r="I14" i="15" s="1"/>
  <c r="G12" i="15"/>
  <c r="Q11" i="15"/>
  <c r="N11" i="15"/>
  <c r="K11" i="15"/>
  <c r="J11" i="15"/>
  <c r="I11" i="15"/>
  <c r="O11" i="15" s="1"/>
  <c r="G11" i="15"/>
  <c r="Q10" i="15"/>
  <c r="Q15" i="15" s="1"/>
  <c r="M10" i="15"/>
  <c r="M15" i="15" s="1"/>
  <c r="M34" i="15" s="1"/>
  <c r="L10" i="15"/>
  <c r="J10" i="15"/>
  <c r="I10" i="15"/>
  <c r="H10" i="15"/>
  <c r="F10" i="15"/>
  <c r="F15" i="15" s="1"/>
  <c r="N9" i="15"/>
  <c r="J9" i="15"/>
  <c r="I9" i="15"/>
  <c r="K9" i="15" s="1"/>
  <c r="G9" i="15"/>
  <c r="N8" i="15"/>
  <c r="K8" i="15"/>
  <c r="J8" i="15"/>
  <c r="I8" i="15"/>
  <c r="O8" i="15" s="1"/>
  <c r="Q7" i="15"/>
  <c r="P7" i="15"/>
  <c r="P10" i="15" s="1"/>
  <c r="K7" i="15"/>
  <c r="J7" i="15"/>
  <c r="I7" i="15"/>
  <c r="O7" i="15" s="1"/>
  <c r="H7" i="15"/>
  <c r="N7" i="15" s="1"/>
  <c r="G7" i="15"/>
  <c r="G10" i="15" s="1"/>
  <c r="Q81" i="14"/>
  <c r="P81" i="14"/>
  <c r="O81" i="14"/>
  <c r="N81" i="14"/>
  <c r="M81" i="14"/>
  <c r="L81" i="14"/>
  <c r="K81" i="14"/>
  <c r="J81" i="14"/>
  <c r="I81" i="14"/>
  <c r="H81" i="14"/>
  <c r="G81" i="14"/>
  <c r="F81" i="14"/>
  <c r="O80" i="14"/>
  <c r="N80" i="14"/>
  <c r="K80" i="14"/>
  <c r="J80" i="14"/>
  <c r="H79" i="14"/>
  <c r="J79" i="14" s="1"/>
  <c r="F79" i="14"/>
  <c r="F82" i="14" s="1"/>
  <c r="N78" i="14"/>
  <c r="K78" i="14"/>
  <c r="J78" i="14"/>
  <c r="I78" i="14"/>
  <c r="O78" i="14" s="1"/>
  <c r="G78" i="14"/>
  <c r="Q77" i="14"/>
  <c r="P77" i="14"/>
  <c r="N77" i="14" s="1"/>
  <c r="J77" i="14"/>
  <c r="I77" i="14"/>
  <c r="K77" i="14" s="1"/>
  <c r="G77" i="14"/>
  <c r="Q76" i="14"/>
  <c r="Q79" i="14" s="1"/>
  <c r="P76" i="14"/>
  <c r="J76" i="14"/>
  <c r="I76" i="14"/>
  <c r="G76" i="14"/>
  <c r="G79" i="14" s="1"/>
  <c r="P75" i="14"/>
  <c r="M75" i="14"/>
  <c r="M82" i="14" s="1"/>
  <c r="L75" i="14"/>
  <c r="L82" i="14" s="1"/>
  <c r="H75" i="14"/>
  <c r="F75" i="14"/>
  <c r="N74" i="14"/>
  <c r="J74" i="14"/>
  <c r="I74" i="14"/>
  <c r="K74" i="14" s="1"/>
  <c r="G74" i="14"/>
  <c r="O73" i="14"/>
  <c r="N73" i="14"/>
  <c r="K73" i="14"/>
  <c r="J73" i="14"/>
  <c r="I73" i="14"/>
  <c r="G73" i="14"/>
  <c r="Q72" i="14"/>
  <c r="Q75" i="14" s="1"/>
  <c r="O72" i="14"/>
  <c r="N72" i="14"/>
  <c r="J72" i="14"/>
  <c r="I72" i="14"/>
  <c r="G72" i="14"/>
  <c r="F70" i="14"/>
  <c r="Q69" i="14"/>
  <c r="P69" i="14"/>
  <c r="M69" i="14"/>
  <c r="L69" i="14"/>
  <c r="H69" i="14"/>
  <c r="N69" i="14" s="1"/>
  <c r="G69" i="14"/>
  <c r="F69" i="14"/>
  <c r="O68" i="14"/>
  <c r="N68" i="14"/>
  <c r="K68" i="14"/>
  <c r="J68" i="14"/>
  <c r="I68" i="14"/>
  <c r="G68" i="14"/>
  <c r="N67" i="14"/>
  <c r="J67" i="14"/>
  <c r="I67" i="14"/>
  <c r="O66" i="14"/>
  <c r="N66" i="14"/>
  <c r="K66" i="14"/>
  <c r="J66" i="14"/>
  <c r="I66" i="14"/>
  <c r="G66" i="14"/>
  <c r="Q65" i="14"/>
  <c r="Q70" i="14" s="1"/>
  <c r="P65" i="14"/>
  <c r="M65" i="14"/>
  <c r="M70" i="14" s="1"/>
  <c r="L65" i="14"/>
  <c r="H65" i="14"/>
  <c r="F65" i="14"/>
  <c r="N64" i="14"/>
  <c r="J64" i="14"/>
  <c r="I64" i="14"/>
  <c r="K64" i="14" s="1"/>
  <c r="G64" i="14"/>
  <c r="O63" i="14"/>
  <c r="N63" i="14"/>
  <c r="K63" i="14"/>
  <c r="J63" i="14"/>
  <c r="I63" i="14"/>
  <c r="O62" i="14"/>
  <c r="N62" i="14"/>
  <c r="K62" i="14"/>
  <c r="J62" i="14"/>
  <c r="I62" i="14"/>
  <c r="G62" i="14"/>
  <c r="P61" i="14"/>
  <c r="N61" i="14"/>
  <c r="L61" i="14"/>
  <c r="J61" i="14"/>
  <c r="H61" i="14"/>
  <c r="Q60" i="14"/>
  <c r="Q61" i="14" s="1"/>
  <c r="P60" i="14"/>
  <c r="N60" i="14"/>
  <c r="M60" i="14"/>
  <c r="M61" i="14" s="1"/>
  <c r="L60" i="14"/>
  <c r="J60" i="14"/>
  <c r="H60" i="14"/>
  <c r="F60" i="14"/>
  <c r="N59" i="14"/>
  <c r="J59" i="14"/>
  <c r="I59" i="14"/>
  <c r="K59" i="14" s="1"/>
  <c r="G59" i="14"/>
  <c r="O58" i="14"/>
  <c r="N58" i="14"/>
  <c r="K58" i="14"/>
  <c r="J58" i="14"/>
  <c r="I58" i="14"/>
  <c r="N57" i="14"/>
  <c r="J57" i="14"/>
  <c r="I57" i="14"/>
  <c r="K57" i="14" s="1"/>
  <c r="G57" i="14"/>
  <c r="G60" i="14" s="1"/>
  <c r="Q56" i="14"/>
  <c r="P56" i="14"/>
  <c r="N56" i="14"/>
  <c r="M56" i="14"/>
  <c r="L56" i="14"/>
  <c r="J56" i="14"/>
  <c r="H56" i="14"/>
  <c r="G56" i="14"/>
  <c r="G61" i="14" s="1"/>
  <c r="F56" i="14"/>
  <c r="F61" i="14" s="1"/>
  <c r="O55" i="14"/>
  <c r="N55" i="14"/>
  <c r="K55" i="14"/>
  <c r="J55" i="14"/>
  <c r="I55" i="14"/>
  <c r="G55" i="14"/>
  <c r="N54" i="14"/>
  <c r="J54" i="14"/>
  <c r="I54" i="14"/>
  <c r="K54" i="14" s="1"/>
  <c r="N53" i="14"/>
  <c r="J53" i="14"/>
  <c r="I53" i="14"/>
  <c r="G53" i="14"/>
  <c r="F52" i="14"/>
  <c r="Q51" i="14"/>
  <c r="P51" i="14"/>
  <c r="M51" i="14"/>
  <c r="L51" i="14"/>
  <c r="H51" i="14"/>
  <c r="N51" i="14" s="1"/>
  <c r="G51" i="14"/>
  <c r="F51" i="14"/>
  <c r="O50" i="14"/>
  <c r="N50" i="14"/>
  <c r="K50" i="14"/>
  <c r="J50" i="14"/>
  <c r="I50" i="14"/>
  <c r="G50" i="14"/>
  <c r="N49" i="14"/>
  <c r="J49" i="14"/>
  <c r="I49" i="14"/>
  <c r="O48" i="14"/>
  <c r="N48" i="14"/>
  <c r="K48" i="14"/>
  <c r="J48" i="14"/>
  <c r="I48" i="14"/>
  <c r="G48" i="14"/>
  <c r="Q47" i="14"/>
  <c r="Q52" i="14" s="1"/>
  <c r="P47" i="14"/>
  <c r="M47" i="14"/>
  <c r="M52" i="14" s="1"/>
  <c r="L47" i="14"/>
  <c r="H47" i="14"/>
  <c r="F47" i="14"/>
  <c r="N46" i="14"/>
  <c r="J46" i="14"/>
  <c r="I46" i="14"/>
  <c r="K46" i="14" s="1"/>
  <c r="G46" i="14"/>
  <c r="O45" i="14"/>
  <c r="N45" i="14"/>
  <c r="K45" i="14"/>
  <c r="J45" i="14"/>
  <c r="I45" i="14"/>
  <c r="H44" i="14"/>
  <c r="J44" i="14" s="1"/>
  <c r="G44" i="14"/>
  <c r="G47" i="14" s="1"/>
  <c r="G52" i="14" s="1"/>
  <c r="G43" i="14"/>
  <c r="Q42" i="14"/>
  <c r="P42" i="14"/>
  <c r="O42" i="14"/>
  <c r="N42" i="14"/>
  <c r="K42" i="14"/>
  <c r="J42" i="14"/>
  <c r="O41" i="14"/>
  <c r="N41" i="14"/>
  <c r="K41" i="14"/>
  <c r="J41" i="14"/>
  <c r="O40" i="14"/>
  <c r="N40" i="14"/>
  <c r="K40" i="14"/>
  <c r="J40" i="14"/>
  <c r="O39" i="14"/>
  <c r="N39" i="14"/>
  <c r="K39" i="14"/>
  <c r="J39" i="14"/>
  <c r="O38" i="14"/>
  <c r="N38" i="14"/>
  <c r="K38" i="14"/>
  <c r="J38" i="14"/>
  <c r="O37" i="14"/>
  <c r="N37" i="14"/>
  <c r="K37" i="14"/>
  <c r="J37" i="14"/>
  <c r="Q36" i="14"/>
  <c r="Q43" i="14" s="1"/>
  <c r="P36" i="14"/>
  <c r="P43" i="14" s="1"/>
  <c r="M36" i="14"/>
  <c r="M43" i="14" s="1"/>
  <c r="L36" i="14"/>
  <c r="L43" i="14" s="1"/>
  <c r="I36" i="14"/>
  <c r="H36" i="14"/>
  <c r="F36" i="14"/>
  <c r="F43" i="14" s="1"/>
  <c r="O35" i="14"/>
  <c r="N35" i="14"/>
  <c r="J35" i="14"/>
  <c r="I35" i="14"/>
  <c r="K35" i="14" s="1"/>
  <c r="G35" i="14"/>
  <c r="G36" i="14" s="1"/>
  <c r="F33" i="14"/>
  <c r="Q32" i="14"/>
  <c r="P32" i="14"/>
  <c r="M32" i="14"/>
  <c r="L32" i="14"/>
  <c r="H32" i="14"/>
  <c r="J32" i="14" s="1"/>
  <c r="F32" i="14"/>
  <c r="O31" i="14"/>
  <c r="N31" i="14"/>
  <c r="K31" i="14"/>
  <c r="J31" i="14"/>
  <c r="I31" i="14"/>
  <c r="G31" i="14"/>
  <c r="N30" i="14"/>
  <c r="J30" i="14"/>
  <c r="I30" i="14"/>
  <c r="O30" i="14" s="1"/>
  <c r="G30" i="14"/>
  <c r="N29" i="14"/>
  <c r="J29" i="14"/>
  <c r="I29" i="14"/>
  <c r="K29" i="14" s="1"/>
  <c r="G29" i="14"/>
  <c r="Q28" i="14"/>
  <c r="Q33" i="14" s="1"/>
  <c r="P28" i="14"/>
  <c r="P33" i="14" s="1"/>
  <c r="M28" i="14"/>
  <c r="M33" i="14" s="1"/>
  <c r="L28" i="14"/>
  <c r="L33" i="14" s="1"/>
  <c r="H28" i="14"/>
  <c r="F28" i="14"/>
  <c r="O27" i="14"/>
  <c r="N27" i="14"/>
  <c r="J27" i="14"/>
  <c r="I27" i="14"/>
  <c r="K27" i="14" s="1"/>
  <c r="G27" i="14"/>
  <c r="O26" i="14"/>
  <c r="N26" i="14"/>
  <c r="K26" i="14"/>
  <c r="J26" i="14"/>
  <c r="I26" i="14"/>
  <c r="G26" i="14"/>
  <c r="N25" i="14"/>
  <c r="J25" i="14"/>
  <c r="I25" i="14"/>
  <c r="K25" i="14" s="1"/>
  <c r="G25" i="14"/>
  <c r="M23" i="14"/>
  <c r="K23" i="14" s="1"/>
  <c r="L23" i="14"/>
  <c r="J23" i="14"/>
  <c r="I23" i="14"/>
  <c r="H23" i="14"/>
  <c r="G23" i="14"/>
  <c r="F23" i="14"/>
  <c r="F24" i="14" s="1"/>
  <c r="O22" i="14"/>
  <c r="N22" i="14"/>
  <c r="K22" i="14"/>
  <c r="J22" i="14"/>
  <c r="I22" i="14"/>
  <c r="G22" i="14"/>
  <c r="Q21" i="14"/>
  <c r="O21" i="14" s="1"/>
  <c r="P21" i="14"/>
  <c r="N21" i="14" s="1"/>
  <c r="K21" i="14"/>
  <c r="J21" i="14"/>
  <c r="I21" i="14"/>
  <c r="G21" i="14"/>
  <c r="Q20" i="14"/>
  <c r="P20" i="14"/>
  <c r="K20" i="14"/>
  <c r="J20" i="14"/>
  <c r="I20" i="14"/>
  <c r="G20" i="14"/>
  <c r="Q19" i="14"/>
  <c r="P19" i="14"/>
  <c r="M19" i="14"/>
  <c r="L19" i="14"/>
  <c r="L24" i="14" s="1"/>
  <c r="H19" i="14"/>
  <c r="F19" i="14"/>
  <c r="O18" i="14"/>
  <c r="N18" i="14"/>
  <c r="J18" i="14"/>
  <c r="I18" i="14"/>
  <c r="K18" i="14" s="1"/>
  <c r="G18" i="14"/>
  <c r="N17" i="14"/>
  <c r="K17" i="14"/>
  <c r="J17" i="14"/>
  <c r="I17" i="14"/>
  <c r="O17" i="14" s="1"/>
  <c r="G17" i="14"/>
  <c r="N16" i="14"/>
  <c r="J16" i="14"/>
  <c r="I16" i="14"/>
  <c r="K16" i="14" s="1"/>
  <c r="G16" i="14"/>
  <c r="P14" i="14"/>
  <c r="M14" i="14"/>
  <c r="M15" i="14" s="1"/>
  <c r="L14" i="14"/>
  <c r="L15" i="14" s="1"/>
  <c r="H14" i="14"/>
  <c r="F14" i="14"/>
  <c r="F15" i="14" s="1"/>
  <c r="N13" i="14"/>
  <c r="K13" i="14"/>
  <c r="J13" i="14"/>
  <c r="I13" i="14"/>
  <c r="O13" i="14" s="1"/>
  <c r="G13" i="14"/>
  <c r="Q12" i="14"/>
  <c r="O12" i="14"/>
  <c r="N12" i="14"/>
  <c r="J12" i="14"/>
  <c r="I12" i="14"/>
  <c r="K12" i="14" s="1"/>
  <c r="G12" i="14"/>
  <c r="G14" i="14" s="1"/>
  <c r="Q11" i="14"/>
  <c r="O11" i="14"/>
  <c r="N11" i="14"/>
  <c r="J11" i="14"/>
  <c r="I11" i="14"/>
  <c r="G11" i="14"/>
  <c r="M10" i="14"/>
  <c r="L10" i="14"/>
  <c r="F10" i="14"/>
  <c r="N9" i="14"/>
  <c r="K9" i="14"/>
  <c r="J9" i="14"/>
  <c r="I9" i="14"/>
  <c r="O9" i="14" s="1"/>
  <c r="G9" i="14"/>
  <c r="O8" i="14"/>
  <c r="N8" i="14"/>
  <c r="J8" i="14"/>
  <c r="I8" i="14"/>
  <c r="K8" i="14" s="1"/>
  <c r="Q7" i="14"/>
  <c r="Q10" i="14" s="1"/>
  <c r="P7" i="14"/>
  <c r="P10" i="14" s="1"/>
  <c r="P15" i="14" s="1"/>
  <c r="H7" i="14"/>
  <c r="G7" i="14"/>
  <c r="G10" i="14" s="1"/>
  <c r="J78" i="13"/>
  <c r="J77" i="13"/>
  <c r="J76" i="13"/>
  <c r="J74" i="13"/>
  <c r="K73" i="13"/>
  <c r="J73" i="13"/>
  <c r="K72" i="13"/>
  <c r="J72" i="13"/>
  <c r="I78" i="13"/>
  <c r="K78" i="13" s="1"/>
  <c r="I77" i="13"/>
  <c r="K77" i="13" s="1"/>
  <c r="I76" i="13"/>
  <c r="K76" i="13" s="1"/>
  <c r="G78" i="13"/>
  <c r="G77" i="13"/>
  <c r="G76" i="13"/>
  <c r="G79" i="13" s="1"/>
  <c r="I74" i="13"/>
  <c r="K74" i="13" s="1"/>
  <c r="I73" i="13"/>
  <c r="O73" i="13" s="1"/>
  <c r="I72" i="13"/>
  <c r="G74" i="13"/>
  <c r="G73" i="13"/>
  <c r="G72" i="13"/>
  <c r="Q81" i="13"/>
  <c r="P81" i="13"/>
  <c r="M81" i="13"/>
  <c r="L81" i="13"/>
  <c r="L82" i="13" s="1"/>
  <c r="I81" i="13"/>
  <c r="O81" i="13" s="1"/>
  <c r="H81" i="13"/>
  <c r="G81" i="13"/>
  <c r="F81" i="13"/>
  <c r="O80" i="13"/>
  <c r="N80" i="13"/>
  <c r="K80" i="13"/>
  <c r="J80" i="13"/>
  <c r="Q79" i="13"/>
  <c r="M79" i="13"/>
  <c r="L79" i="13"/>
  <c r="H79" i="13"/>
  <c r="J79" i="13" s="1"/>
  <c r="F79" i="13"/>
  <c r="O78" i="13"/>
  <c r="N78" i="13"/>
  <c r="Q77" i="13"/>
  <c r="P77" i="13"/>
  <c r="N77" i="13"/>
  <c r="Q76" i="13"/>
  <c r="P76" i="13"/>
  <c r="P79" i="13" s="1"/>
  <c r="Q75" i="13"/>
  <c r="P75" i="13"/>
  <c r="M75" i="13"/>
  <c r="L75" i="13"/>
  <c r="I75" i="13"/>
  <c r="K75" i="13" s="1"/>
  <c r="H75" i="13"/>
  <c r="N75" i="13" s="1"/>
  <c r="F75" i="13"/>
  <c r="O74" i="13"/>
  <c r="N74" i="13"/>
  <c r="N73" i="13"/>
  <c r="Q72" i="13"/>
  <c r="O72" i="13"/>
  <c r="N72" i="13"/>
  <c r="Q69" i="13"/>
  <c r="P69" i="13"/>
  <c r="M69" i="13"/>
  <c r="L69" i="13"/>
  <c r="H69" i="13"/>
  <c r="F69" i="13"/>
  <c r="N68" i="13"/>
  <c r="J68" i="13"/>
  <c r="I68" i="13"/>
  <c r="K68" i="13" s="1"/>
  <c r="G68" i="13"/>
  <c r="N67" i="13"/>
  <c r="J67" i="13"/>
  <c r="I67" i="13"/>
  <c r="O67" i="13" s="1"/>
  <c r="N66" i="13"/>
  <c r="J66" i="13"/>
  <c r="I66" i="13"/>
  <c r="K66" i="13" s="1"/>
  <c r="G66" i="13"/>
  <c r="Q65" i="13"/>
  <c r="Q70" i="13" s="1"/>
  <c r="P65" i="13"/>
  <c r="M65" i="13"/>
  <c r="M70" i="13" s="1"/>
  <c r="L65" i="13"/>
  <c r="I65" i="13"/>
  <c r="O65" i="13" s="1"/>
  <c r="H65" i="13"/>
  <c r="N65" i="13" s="1"/>
  <c r="F65" i="13"/>
  <c r="N64" i="13"/>
  <c r="J64" i="13"/>
  <c r="I64" i="13"/>
  <c r="K64" i="13" s="1"/>
  <c r="G64" i="13"/>
  <c r="N63" i="13"/>
  <c r="J63" i="13"/>
  <c r="I63" i="13"/>
  <c r="O63" i="13" s="1"/>
  <c r="N62" i="13"/>
  <c r="J62" i="13"/>
  <c r="I62" i="13"/>
  <c r="O62" i="13" s="1"/>
  <c r="G62" i="13"/>
  <c r="Q60" i="13"/>
  <c r="P60" i="13"/>
  <c r="M60" i="13"/>
  <c r="L60" i="13"/>
  <c r="J60" i="13"/>
  <c r="H60" i="13"/>
  <c r="N60" i="13" s="1"/>
  <c r="F60" i="13"/>
  <c r="N59" i="13"/>
  <c r="J59" i="13"/>
  <c r="I59" i="13"/>
  <c r="K59" i="13" s="1"/>
  <c r="G59" i="13"/>
  <c r="N58" i="13"/>
  <c r="K58" i="13"/>
  <c r="J58" i="13"/>
  <c r="I58" i="13"/>
  <c r="O58" i="13" s="1"/>
  <c r="N57" i="13"/>
  <c r="J57" i="13"/>
  <c r="I57" i="13"/>
  <c r="K57" i="13" s="1"/>
  <c r="G57" i="13"/>
  <c r="Q56" i="13"/>
  <c r="P56" i="13"/>
  <c r="P61" i="13" s="1"/>
  <c r="M56" i="13"/>
  <c r="L56" i="13"/>
  <c r="H56" i="13"/>
  <c r="J56" i="13" s="1"/>
  <c r="F56" i="13"/>
  <c r="N55" i="13"/>
  <c r="J55" i="13"/>
  <c r="I55" i="13"/>
  <c r="O55" i="13" s="1"/>
  <c r="G55" i="13"/>
  <c r="N54" i="13"/>
  <c r="J54" i="13"/>
  <c r="I54" i="13"/>
  <c r="K54" i="13" s="1"/>
  <c r="N53" i="13"/>
  <c r="J53" i="13"/>
  <c r="I53" i="13"/>
  <c r="G53" i="13"/>
  <c r="Q51" i="13"/>
  <c r="P51" i="13"/>
  <c r="M51" i="13"/>
  <c r="L51" i="13"/>
  <c r="H51" i="13"/>
  <c r="G51" i="13"/>
  <c r="F51" i="13"/>
  <c r="N50" i="13"/>
  <c r="J50" i="13"/>
  <c r="I50" i="13"/>
  <c r="O50" i="13" s="1"/>
  <c r="G50" i="13"/>
  <c r="N49" i="13"/>
  <c r="J49" i="13"/>
  <c r="I49" i="13"/>
  <c r="O49" i="13" s="1"/>
  <c r="N48" i="13"/>
  <c r="J48" i="13"/>
  <c r="I48" i="13"/>
  <c r="O48" i="13" s="1"/>
  <c r="G48" i="13"/>
  <c r="Q47" i="13"/>
  <c r="P47" i="13"/>
  <c r="P52" i="13" s="1"/>
  <c r="M47" i="13"/>
  <c r="L47" i="13"/>
  <c r="L52" i="13" s="1"/>
  <c r="F47" i="13"/>
  <c r="F52" i="13" s="1"/>
  <c r="N46" i="13"/>
  <c r="J46" i="13"/>
  <c r="I46" i="13"/>
  <c r="O46" i="13" s="1"/>
  <c r="G46" i="13"/>
  <c r="N45" i="13"/>
  <c r="J45" i="13"/>
  <c r="I45" i="13"/>
  <c r="O45" i="13" s="1"/>
  <c r="J44" i="13"/>
  <c r="I44" i="13"/>
  <c r="O44" i="13" s="1"/>
  <c r="H44" i="13"/>
  <c r="N44" i="13" s="1"/>
  <c r="G44" i="13"/>
  <c r="M43" i="13"/>
  <c r="Q42" i="13"/>
  <c r="Q43" i="13" s="1"/>
  <c r="P42" i="13"/>
  <c r="P43" i="13" s="1"/>
  <c r="N42" i="13"/>
  <c r="K42" i="13"/>
  <c r="J42" i="13"/>
  <c r="O41" i="13"/>
  <c r="N41" i="13"/>
  <c r="K41" i="13"/>
  <c r="J41" i="13"/>
  <c r="O40" i="13"/>
  <c r="N40" i="13"/>
  <c r="K40" i="13"/>
  <c r="J40" i="13"/>
  <c r="O39" i="13"/>
  <c r="N39" i="13"/>
  <c r="K39" i="13"/>
  <c r="J39" i="13"/>
  <c r="O38" i="13"/>
  <c r="N38" i="13"/>
  <c r="K38" i="13"/>
  <c r="J38" i="13"/>
  <c r="O37" i="13"/>
  <c r="N37" i="13"/>
  <c r="K37" i="13"/>
  <c r="J37" i="13"/>
  <c r="Q36" i="13"/>
  <c r="P36" i="13"/>
  <c r="M36" i="13"/>
  <c r="L36" i="13"/>
  <c r="L43" i="13" s="1"/>
  <c r="I36" i="13"/>
  <c r="I43" i="13" s="1"/>
  <c r="H36" i="13"/>
  <c r="H43" i="13" s="1"/>
  <c r="F36" i="13"/>
  <c r="F43" i="13" s="1"/>
  <c r="N35" i="13"/>
  <c r="J35" i="13"/>
  <c r="I35" i="13"/>
  <c r="O35" i="13" s="1"/>
  <c r="G35" i="13"/>
  <c r="G36" i="13" s="1"/>
  <c r="G43" i="13" s="1"/>
  <c r="Q33" i="13"/>
  <c r="M33" i="13"/>
  <c r="Q32" i="13"/>
  <c r="P32" i="13"/>
  <c r="M32" i="13"/>
  <c r="L32" i="13"/>
  <c r="L33" i="13" s="1"/>
  <c r="H32" i="13"/>
  <c r="H33" i="13" s="1"/>
  <c r="F32" i="13"/>
  <c r="N31" i="13"/>
  <c r="J31" i="13"/>
  <c r="I31" i="13"/>
  <c r="K31" i="13" s="1"/>
  <c r="G31" i="13"/>
  <c r="N30" i="13"/>
  <c r="J30" i="13"/>
  <c r="I30" i="13"/>
  <c r="O30" i="13" s="1"/>
  <c r="G30" i="13"/>
  <c r="O29" i="13"/>
  <c r="N29" i="13"/>
  <c r="K29" i="13"/>
  <c r="J29" i="13"/>
  <c r="I29" i="13"/>
  <c r="G29" i="13"/>
  <c r="Q28" i="13"/>
  <c r="P28" i="13"/>
  <c r="P33" i="13" s="1"/>
  <c r="O28" i="13"/>
  <c r="M28" i="13"/>
  <c r="L28" i="13"/>
  <c r="K28" i="13"/>
  <c r="I28" i="13"/>
  <c r="H28" i="13"/>
  <c r="N28" i="13" s="1"/>
  <c r="F28" i="13"/>
  <c r="O27" i="13"/>
  <c r="N27" i="13"/>
  <c r="K27" i="13"/>
  <c r="J27" i="13"/>
  <c r="I27" i="13"/>
  <c r="G27" i="13"/>
  <c r="O26" i="13"/>
  <c r="N26" i="13"/>
  <c r="K26" i="13"/>
  <c r="J26" i="13"/>
  <c r="I26" i="13"/>
  <c r="G26" i="13"/>
  <c r="O25" i="13"/>
  <c r="N25" i="13"/>
  <c r="K25" i="13"/>
  <c r="J25" i="13"/>
  <c r="I25" i="13"/>
  <c r="G25" i="13"/>
  <c r="Q24" i="13"/>
  <c r="M24" i="13"/>
  <c r="Q23" i="13"/>
  <c r="M23" i="13"/>
  <c r="L23" i="13"/>
  <c r="L24" i="13" s="1"/>
  <c r="H23" i="13"/>
  <c r="H24" i="13" s="1"/>
  <c r="F23" i="13"/>
  <c r="F24" i="13" s="1"/>
  <c r="O22" i="13"/>
  <c r="N22" i="13"/>
  <c r="K22" i="13"/>
  <c r="J22" i="13"/>
  <c r="I22" i="13"/>
  <c r="G22" i="13"/>
  <c r="Q21" i="13"/>
  <c r="P21" i="13"/>
  <c r="N21" i="13" s="1"/>
  <c r="O21" i="13"/>
  <c r="K21" i="13"/>
  <c r="J21" i="13"/>
  <c r="I21" i="13"/>
  <c r="G21" i="13"/>
  <c r="Q20" i="13"/>
  <c r="P20" i="13"/>
  <c r="P23" i="13" s="1"/>
  <c r="J20" i="13"/>
  <c r="I20" i="13"/>
  <c r="O20" i="13" s="1"/>
  <c r="G20" i="13"/>
  <c r="G23" i="13" s="1"/>
  <c r="Q19" i="13"/>
  <c r="P19" i="13"/>
  <c r="M19" i="13"/>
  <c r="L19" i="13"/>
  <c r="H19" i="13"/>
  <c r="N19" i="13" s="1"/>
  <c r="F19" i="13"/>
  <c r="O18" i="13"/>
  <c r="N18" i="13"/>
  <c r="K18" i="13"/>
  <c r="J18" i="13"/>
  <c r="I18" i="13"/>
  <c r="G18" i="13"/>
  <c r="N17" i="13"/>
  <c r="J17" i="13"/>
  <c r="I17" i="13"/>
  <c r="O17" i="13" s="1"/>
  <c r="G17" i="13"/>
  <c r="O16" i="13"/>
  <c r="N16" i="13"/>
  <c r="K16" i="13"/>
  <c r="J16" i="13"/>
  <c r="I16" i="13"/>
  <c r="G16" i="13"/>
  <c r="G19" i="13" s="1"/>
  <c r="P14" i="13"/>
  <c r="M14" i="13"/>
  <c r="M15" i="13" s="1"/>
  <c r="M34" i="13" s="1"/>
  <c r="L14" i="13"/>
  <c r="L15" i="13" s="1"/>
  <c r="H14" i="13"/>
  <c r="H15" i="13" s="1"/>
  <c r="F14" i="13"/>
  <c r="N13" i="13"/>
  <c r="J13" i="13"/>
  <c r="I13" i="13"/>
  <c r="O13" i="13" s="1"/>
  <c r="G13" i="13"/>
  <c r="Q12" i="13"/>
  <c r="N12" i="13"/>
  <c r="J12" i="13"/>
  <c r="I12" i="13"/>
  <c r="I14" i="13" s="1"/>
  <c r="G12" i="13"/>
  <c r="Q11" i="13"/>
  <c r="Q14" i="13" s="1"/>
  <c r="N11" i="13"/>
  <c r="K11" i="13"/>
  <c r="J11" i="13"/>
  <c r="I11" i="13"/>
  <c r="G11" i="13"/>
  <c r="M10" i="13"/>
  <c r="L10" i="13"/>
  <c r="J10" i="13"/>
  <c r="H10" i="13"/>
  <c r="F10" i="13"/>
  <c r="F15" i="13" s="1"/>
  <c r="N9" i="13"/>
  <c r="J9" i="13"/>
  <c r="I9" i="13"/>
  <c r="O9" i="13" s="1"/>
  <c r="G9" i="13"/>
  <c r="N8" i="13"/>
  <c r="K8" i="13"/>
  <c r="J8" i="13"/>
  <c r="I8" i="13"/>
  <c r="O8" i="13" s="1"/>
  <c r="Q7" i="13"/>
  <c r="Q10" i="13" s="1"/>
  <c r="P7" i="13"/>
  <c r="P10" i="13" s="1"/>
  <c r="K7" i="13"/>
  <c r="J7" i="13"/>
  <c r="I7" i="13"/>
  <c r="I10" i="13" s="1"/>
  <c r="H7" i="13"/>
  <c r="N7" i="13" s="1"/>
  <c r="G7" i="13"/>
  <c r="G10" i="13" s="1"/>
  <c r="M82" i="12"/>
  <c r="L82" i="12"/>
  <c r="J82" i="12"/>
  <c r="I82" i="12"/>
  <c r="H82" i="12"/>
  <c r="F82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O80" i="12"/>
  <c r="N80" i="12"/>
  <c r="K80" i="12"/>
  <c r="J80" i="12"/>
  <c r="P79" i="12"/>
  <c r="P82" i="12" s="1"/>
  <c r="N79" i="12"/>
  <c r="M79" i="12"/>
  <c r="L79" i="12"/>
  <c r="K79" i="12"/>
  <c r="J79" i="12"/>
  <c r="I79" i="12"/>
  <c r="H79" i="12"/>
  <c r="G79" i="12"/>
  <c r="G82" i="12" s="1"/>
  <c r="F79" i="12"/>
  <c r="O78" i="12"/>
  <c r="N78" i="12"/>
  <c r="K78" i="12"/>
  <c r="J78" i="12"/>
  <c r="Q77" i="12"/>
  <c r="P77" i="12"/>
  <c r="O77" i="12"/>
  <c r="N77" i="12"/>
  <c r="K77" i="12"/>
  <c r="J77" i="12"/>
  <c r="Q76" i="12"/>
  <c r="Q79" i="12" s="1"/>
  <c r="P76" i="12"/>
  <c r="N76" i="12"/>
  <c r="K76" i="12"/>
  <c r="J76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O74" i="12"/>
  <c r="N74" i="12"/>
  <c r="K74" i="12"/>
  <c r="J74" i="12"/>
  <c r="O73" i="12"/>
  <c r="N73" i="12"/>
  <c r="K73" i="12"/>
  <c r="J73" i="12"/>
  <c r="Q72" i="12"/>
  <c r="O72" i="12"/>
  <c r="N72" i="12"/>
  <c r="K72" i="12"/>
  <c r="J72" i="12"/>
  <c r="F70" i="12"/>
  <c r="Q69" i="12"/>
  <c r="P69" i="12"/>
  <c r="P70" i="12" s="1"/>
  <c r="P71" i="12" s="1"/>
  <c r="O69" i="12"/>
  <c r="M69" i="12"/>
  <c r="L69" i="12"/>
  <c r="L70" i="12" s="1"/>
  <c r="K69" i="12"/>
  <c r="I69" i="12"/>
  <c r="H69" i="12"/>
  <c r="N69" i="12" s="1"/>
  <c r="G69" i="12"/>
  <c r="F69" i="12"/>
  <c r="O68" i="12"/>
  <c r="N68" i="12"/>
  <c r="K68" i="12"/>
  <c r="J68" i="12"/>
  <c r="I68" i="12"/>
  <c r="G68" i="12"/>
  <c r="O67" i="12"/>
  <c r="N67" i="12"/>
  <c r="K67" i="12"/>
  <c r="J67" i="12"/>
  <c r="I67" i="12"/>
  <c r="O66" i="12"/>
  <c r="N66" i="12"/>
  <c r="K66" i="12"/>
  <c r="J66" i="12"/>
  <c r="I66" i="12"/>
  <c r="G66" i="12"/>
  <c r="Q65" i="12"/>
  <c r="Q70" i="12" s="1"/>
  <c r="P65" i="12"/>
  <c r="N65" i="12"/>
  <c r="M65" i="12"/>
  <c r="M70" i="12" s="1"/>
  <c r="M71" i="12" s="1"/>
  <c r="L65" i="12"/>
  <c r="J65" i="12"/>
  <c r="H65" i="12"/>
  <c r="F65" i="12"/>
  <c r="N64" i="12"/>
  <c r="J64" i="12"/>
  <c r="I64" i="12"/>
  <c r="K64" i="12" s="1"/>
  <c r="G64" i="12"/>
  <c r="O63" i="12"/>
  <c r="N63" i="12"/>
  <c r="K63" i="12"/>
  <c r="J63" i="12"/>
  <c r="I63" i="12"/>
  <c r="O62" i="12"/>
  <c r="N62" i="12"/>
  <c r="K62" i="12"/>
  <c r="J62" i="12"/>
  <c r="I62" i="12"/>
  <c r="G62" i="12"/>
  <c r="G65" i="12" s="1"/>
  <c r="G70" i="12" s="1"/>
  <c r="Q61" i="12"/>
  <c r="P61" i="12"/>
  <c r="N61" i="12"/>
  <c r="M61" i="12"/>
  <c r="L61" i="12"/>
  <c r="J61" i="12"/>
  <c r="H61" i="12"/>
  <c r="Q60" i="12"/>
  <c r="P60" i="12"/>
  <c r="N60" i="12"/>
  <c r="M60" i="12"/>
  <c r="L60" i="12"/>
  <c r="J60" i="12"/>
  <c r="I60" i="12"/>
  <c r="H60" i="12"/>
  <c r="G60" i="12"/>
  <c r="F60" i="12"/>
  <c r="F61" i="12" s="1"/>
  <c r="O59" i="12"/>
  <c r="N59" i="12"/>
  <c r="K59" i="12"/>
  <c r="J59" i="12"/>
  <c r="I59" i="12"/>
  <c r="G59" i="12"/>
  <c r="O58" i="12"/>
  <c r="N58" i="12"/>
  <c r="K58" i="12"/>
  <c r="J58" i="12"/>
  <c r="I58" i="12"/>
  <c r="N57" i="12"/>
  <c r="J57" i="12"/>
  <c r="I57" i="12"/>
  <c r="K57" i="12" s="1"/>
  <c r="G57" i="12"/>
  <c r="Q56" i="12"/>
  <c r="P56" i="12"/>
  <c r="N56" i="12"/>
  <c r="M56" i="12"/>
  <c r="L56" i="12"/>
  <c r="J56" i="12"/>
  <c r="H56" i="12"/>
  <c r="G56" i="12"/>
  <c r="G61" i="12" s="1"/>
  <c r="F56" i="12"/>
  <c r="O55" i="12"/>
  <c r="N55" i="12"/>
  <c r="K55" i="12"/>
  <c r="J55" i="12"/>
  <c r="I55" i="12"/>
  <c r="G55" i="12"/>
  <c r="N54" i="12"/>
  <c r="J54" i="12"/>
  <c r="I54" i="12"/>
  <c r="I56" i="12" s="1"/>
  <c r="O53" i="12"/>
  <c r="N53" i="12"/>
  <c r="K53" i="12"/>
  <c r="J53" i="12"/>
  <c r="I53" i="12"/>
  <c r="G53" i="12"/>
  <c r="F52" i="12"/>
  <c r="Q51" i="12"/>
  <c r="P51" i="12"/>
  <c r="P52" i="12" s="1"/>
  <c r="O51" i="12"/>
  <c r="M51" i="12"/>
  <c r="L51" i="12"/>
  <c r="L52" i="12" s="1"/>
  <c r="K51" i="12"/>
  <c r="I51" i="12"/>
  <c r="H51" i="12"/>
  <c r="N51" i="12" s="1"/>
  <c r="G51" i="12"/>
  <c r="G52" i="12" s="1"/>
  <c r="F51" i="12"/>
  <c r="O50" i="12"/>
  <c r="N50" i="12"/>
  <c r="K50" i="12"/>
  <c r="J50" i="12"/>
  <c r="I50" i="12"/>
  <c r="G50" i="12"/>
  <c r="O49" i="12"/>
  <c r="N49" i="12"/>
  <c r="K49" i="12"/>
  <c r="J49" i="12"/>
  <c r="I49" i="12"/>
  <c r="O48" i="12"/>
  <c r="N48" i="12"/>
  <c r="K48" i="12"/>
  <c r="J48" i="12"/>
  <c r="I48" i="12"/>
  <c r="G48" i="12"/>
  <c r="Q47" i="12"/>
  <c r="Q52" i="12" s="1"/>
  <c r="P47" i="12"/>
  <c r="M47" i="12"/>
  <c r="M52" i="12" s="1"/>
  <c r="L47" i="12"/>
  <c r="H47" i="12"/>
  <c r="N47" i="12" s="1"/>
  <c r="G47" i="12"/>
  <c r="F47" i="12"/>
  <c r="N46" i="12"/>
  <c r="J46" i="12"/>
  <c r="I46" i="12"/>
  <c r="K46" i="12" s="1"/>
  <c r="G46" i="12"/>
  <c r="O45" i="12"/>
  <c r="N45" i="12"/>
  <c r="K45" i="12"/>
  <c r="J45" i="12"/>
  <c r="I45" i="12"/>
  <c r="H44" i="12"/>
  <c r="J44" i="12" s="1"/>
  <c r="G44" i="12"/>
  <c r="P43" i="12"/>
  <c r="L43" i="12"/>
  <c r="F43" i="12"/>
  <c r="Q42" i="12"/>
  <c r="P42" i="12"/>
  <c r="O42" i="12"/>
  <c r="N42" i="12"/>
  <c r="K42" i="12"/>
  <c r="J42" i="12"/>
  <c r="O41" i="12"/>
  <c r="N41" i="12"/>
  <c r="K41" i="12"/>
  <c r="J41" i="12"/>
  <c r="O40" i="12"/>
  <c r="N40" i="12"/>
  <c r="K40" i="12"/>
  <c r="J40" i="12"/>
  <c r="O39" i="12"/>
  <c r="N39" i="12"/>
  <c r="K39" i="12"/>
  <c r="J39" i="12"/>
  <c r="O38" i="12"/>
  <c r="N38" i="12"/>
  <c r="K38" i="12"/>
  <c r="J38" i="12"/>
  <c r="O37" i="12"/>
  <c r="N37" i="12"/>
  <c r="K37" i="12"/>
  <c r="J37" i="12"/>
  <c r="Q36" i="12"/>
  <c r="Q43" i="12" s="1"/>
  <c r="P36" i="12"/>
  <c r="M36" i="12"/>
  <c r="M43" i="12" s="1"/>
  <c r="L36" i="12"/>
  <c r="H36" i="12"/>
  <c r="H43" i="12" s="1"/>
  <c r="F36" i="12"/>
  <c r="N35" i="12"/>
  <c r="J35" i="12"/>
  <c r="I35" i="12"/>
  <c r="K35" i="12" s="1"/>
  <c r="G35" i="12"/>
  <c r="G36" i="12" s="1"/>
  <c r="G43" i="12" s="1"/>
  <c r="P33" i="12"/>
  <c r="Q32" i="12"/>
  <c r="P32" i="12"/>
  <c r="M32" i="12"/>
  <c r="L32" i="12"/>
  <c r="L33" i="12" s="1"/>
  <c r="H32" i="12"/>
  <c r="N32" i="12" s="1"/>
  <c r="F32" i="12"/>
  <c r="N31" i="12"/>
  <c r="J31" i="12"/>
  <c r="I31" i="12"/>
  <c r="O31" i="12" s="1"/>
  <c r="G31" i="12"/>
  <c r="N30" i="12"/>
  <c r="J30" i="12"/>
  <c r="I30" i="12"/>
  <c r="I32" i="12" s="1"/>
  <c r="G30" i="12"/>
  <c r="N29" i="12"/>
  <c r="K29" i="12"/>
  <c r="J29" i="12"/>
  <c r="I29" i="12"/>
  <c r="O29" i="12" s="1"/>
  <c r="G29" i="12"/>
  <c r="Q28" i="12"/>
  <c r="Q33" i="12" s="1"/>
  <c r="P28" i="12"/>
  <c r="M28" i="12"/>
  <c r="L28" i="12"/>
  <c r="H28" i="12"/>
  <c r="N28" i="12" s="1"/>
  <c r="F28" i="12"/>
  <c r="N27" i="12"/>
  <c r="J27" i="12"/>
  <c r="I27" i="12"/>
  <c r="K27" i="12" s="1"/>
  <c r="G27" i="12"/>
  <c r="G28" i="12" s="1"/>
  <c r="N26" i="12"/>
  <c r="K26" i="12"/>
  <c r="J26" i="12"/>
  <c r="I26" i="12"/>
  <c r="O26" i="12" s="1"/>
  <c r="G26" i="12"/>
  <c r="N25" i="12"/>
  <c r="J25" i="12"/>
  <c r="I25" i="12"/>
  <c r="K25" i="12" s="1"/>
  <c r="G25" i="12"/>
  <c r="L24" i="12"/>
  <c r="J24" i="12"/>
  <c r="H24" i="12"/>
  <c r="F24" i="12"/>
  <c r="P23" i="12"/>
  <c r="P24" i="12" s="1"/>
  <c r="N24" i="12" s="1"/>
  <c r="N23" i="12"/>
  <c r="M23" i="12"/>
  <c r="K23" i="12" s="1"/>
  <c r="L23" i="12"/>
  <c r="J23" i="12"/>
  <c r="I23" i="12"/>
  <c r="H23" i="12"/>
  <c r="G23" i="12"/>
  <c r="F23" i="12"/>
  <c r="O22" i="12"/>
  <c r="N22" i="12"/>
  <c r="K22" i="12"/>
  <c r="J22" i="12"/>
  <c r="I22" i="12"/>
  <c r="G22" i="12"/>
  <c r="Q21" i="12"/>
  <c r="O21" i="12" s="1"/>
  <c r="P21" i="12"/>
  <c r="N21" i="12"/>
  <c r="K21" i="12"/>
  <c r="J21" i="12"/>
  <c r="I21" i="12"/>
  <c r="G21" i="12"/>
  <c r="Q20" i="12"/>
  <c r="Q23" i="12" s="1"/>
  <c r="O23" i="12" s="1"/>
  <c r="P20" i="12"/>
  <c r="N20" i="12"/>
  <c r="K20" i="12"/>
  <c r="J20" i="12"/>
  <c r="I20" i="12"/>
  <c r="G20" i="12"/>
  <c r="Q19" i="12"/>
  <c r="Q24" i="12" s="1"/>
  <c r="P19" i="12"/>
  <c r="N19" i="12"/>
  <c r="M19" i="12"/>
  <c r="M24" i="12" s="1"/>
  <c r="L19" i="12"/>
  <c r="J19" i="12"/>
  <c r="H19" i="12"/>
  <c r="F19" i="12"/>
  <c r="N18" i="12"/>
  <c r="J18" i="12"/>
  <c r="I18" i="12"/>
  <c r="K18" i="12" s="1"/>
  <c r="G18" i="12"/>
  <c r="O17" i="12"/>
  <c r="N17" i="12"/>
  <c r="K17" i="12"/>
  <c r="J17" i="12"/>
  <c r="I17" i="12"/>
  <c r="G17" i="12"/>
  <c r="N16" i="12"/>
  <c r="J16" i="12"/>
  <c r="I16" i="12"/>
  <c r="K16" i="12" s="1"/>
  <c r="G16" i="12"/>
  <c r="G19" i="12" s="1"/>
  <c r="G24" i="12" s="1"/>
  <c r="P14" i="12"/>
  <c r="N14" i="12"/>
  <c r="M14" i="12"/>
  <c r="L14" i="12"/>
  <c r="L15" i="12" s="1"/>
  <c r="J14" i="12"/>
  <c r="H14" i="12"/>
  <c r="F14" i="12"/>
  <c r="N13" i="12"/>
  <c r="K13" i="12"/>
  <c r="J13" i="12"/>
  <c r="I13" i="12"/>
  <c r="O13" i="12" s="1"/>
  <c r="G13" i="12"/>
  <c r="Q12" i="12"/>
  <c r="N12" i="12"/>
  <c r="J12" i="12"/>
  <c r="I12" i="12"/>
  <c r="O12" i="12" s="1"/>
  <c r="G12" i="12"/>
  <c r="Q11" i="12"/>
  <c r="Q14" i="12" s="1"/>
  <c r="N11" i="12"/>
  <c r="J11" i="12"/>
  <c r="I11" i="12"/>
  <c r="I14" i="12" s="1"/>
  <c r="G11" i="12"/>
  <c r="M10" i="12"/>
  <c r="M15" i="12" s="1"/>
  <c r="L10" i="12"/>
  <c r="F10" i="12"/>
  <c r="N9" i="12"/>
  <c r="K9" i="12"/>
  <c r="J9" i="12"/>
  <c r="I9" i="12"/>
  <c r="O9" i="12" s="1"/>
  <c r="G9" i="12"/>
  <c r="N8" i="12"/>
  <c r="J8" i="12"/>
  <c r="I8" i="12"/>
  <c r="K8" i="12" s="1"/>
  <c r="Q7" i="12"/>
  <c r="Q10" i="12" s="1"/>
  <c r="Q15" i="12" s="1"/>
  <c r="P7" i="12"/>
  <c r="P10" i="12" s="1"/>
  <c r="P15" i="12" s="1"/>
  <c r="H7" i="12"/>
  <c r="J7" i="12" s="1"/>
  <c r="G7" i="12"/>
  <c r="G10" i="12" s="1"/>
  <c r="M82" i="11"/>
  <c r="L82" i="11"/>
  <c r="J82" i="11"/>
  <c r="I82" i="11"/>
  <c r="H82" i="11"/>
  <c r="G82" i="11"/>
  <c r="F82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O80" i="11"/>
  <c r="N80" i="11"/>
  <c r="K80" i="11"/>
  <c r="J80" i="11"/>
  <c r="Q79" i="11"/>
  <c r="Q82" i="11" s="1"/>
  <c r="P79" i="11"/>
  <c r="P82" i="11" s="1"/>
  <c r="O79" i="11"/>
  <c r="N79" i="11"/>
  <c r="M79" i="11"/>
  <c r="L79" i="11"/>
  <c r="K79" i="11"/>
  <c r="J79" i="11"/>
  <c r="I79" i="11"/>
  <c r="H79" i="11"/>
  <c r="G79" i="11"/>
  <c r="F79" i="11"/>
  <c r="O78" i="11"/>
  <c r="N78" i="11"/>
  <c r="K78" i="11"/>
  <c r="J78" i="11"/>
  <c r="Q77" i="11"/>
  <c r="P77" i="11"/>
  <c r="O77" i="11"/>
  <c r="N77" i="11"/>
  <c r="K77" i="11"/>
  <c r="J77" i="11"/>
  <c r="Q76" i="11"/>
  <c r="P76" i="11"/>
  <c r="O76" i="11"/>
  <c r="N76" i="11"/>
  <c r="K76" i="11"/>
  <c r="J76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O74" i="11"/>
  <c r="N74" i="11"/>
  <c r="K74" i="11"/>
  <c r="J74" i="11"/>
  <c r="O73" i="11"/>
  <c r="N73" i="11"/>
  <c r="K73" i="11"/>
  <c r="J73" i="11"/>
  <c r="Q72" i="11"/>
  <c r="O72" i="11"/>
  <c r="N72" i="11"/>
  <c r="K72" i="11"/>
  <c r="J72" i="11"/>
  <c r="Q70" i="11"/>
  <c r="P70" i="11"/>
  <c r="M70" i="11"/>
  <c r="L70" i="11"/>
  <c r="H70" i="11"/>
  <c r="N70" i="11" s="1"/>
  <c r="G70" i="11"/>
  <c r="F70" i="11"/>
  <c r="Q69" i="11"/>
  <c r="P69" i="11"/>
  <c r="O69" i="11"/>
  <c r="N69" i="11"/>
  <c r="M69" i="11"/>
  <c r="L69" i="11"/>
  <c r="K69" i="11"/>
  <c r="J69" i="11"/>
  <c r="I69" i="11"/>
  <c r="I70" i="11" s="1"/>
  <c r="H69" i="11"/>
  <c r="G69" i="11"/>
  <c r="F69" i="11"/>
  <c r="O68" i="11"/>
  <c r="N68" i="11"/>
  <c r="K68" i="11"/>
  <c r="J68" i="11"/>
  <c r="I68" i="11"/>
  <c r="G68" i="11"/>
  <c r="O67" i="11"/>
  <c r="N67" i="11"/>
  <c r="K67" i="11"/>
  <c r="J67" i="11"/>
  <c r="I67" i="11"/>
  <c r="O66" i="11"/>
  <c r="N66" i="11"/>
  <c r="K66" i="11"/>
  <c r="J66" i="11"/>
  <c r="I66" i="11"/>
  <c r="G66" i="11"/>
  <c r="Q65" i="11"/>
  <c r="P65" i="11"/>
  <c r="N65" i="11"/>
  <c r="M65" i="11"/>
  <c r="L65" i="11"/>
  <c r="J65" i="11"/>
  <c r="I65" i="11"/>
  <c r="O65" i="11" s="1"/>
  <c r="H65" i="11"/>
  <c r="G65" i="11"/>
  <c r="F65" i="11"/>
  <c r="O64" i="11"/>
  <c r="N64" i="11"/>
  <c r="K64" i="11"/>
  <c r="J64" i="11"/>
  <c r="I64" i="11"/>
  <c r="G64" i="11"/>
  <c r="O63" i="11"/>
  <c r="N63" i="11"/>
  <c r="K63" i="11"/>
  <c r="J63" i="11"/>
  <c r="I63" i="11"/>
  <c r="O62" i="11"/>
  <c r="N62" i="11"/>
  <c r="K62" i="11"/>
  <c r="J62" i="11"/>
  <c r="I62" i="11"/>
  <c r="G62" i="11"/>
  <c r="Q61" i="11"/>
  <c r="M61" i="11"/>
  <c r="Q60" i="11"/>
  <c r="P60" i="11"/>
  <c r="N60" i="11"/>
  <c r="M60" i="11"/>
  <c r="L60" i="11"/>
  <c r="J60" i="11"/>
  <c r="I60" i="11"/>
  <c r="O60" i="11" s="1"/>
  <c r="H60" i="11"/>
  <c r="G60" i="11"/>
  <c r="F60" i="11"/>
  <c r="F61" i="11" s="1"/>
  <c r="O59" i="11"/>
  <c r="N59" i="11"/>
  <c r="K59" i="11"/>
  <c r="J59" i="11"/>
  <c r="I59" i="11"/>
  <c r="G59" i="11"/>
  <c r="N58" i="11"/>
  <c r="K58" i="11"/>
  <c r="J58" i="11"/>
  <c r="I58" i="11"/>
  <c r="O58" i="11" s="1"/>
  <c r="N57" i="11"/>
  <c r="J57" i="11"/>
  <c r="I57" i="11"/>
  <c r="K57" i="11" s="1"/>
  <c r="G57" i="11"/>
  <c r="Q56" i="11"/>
  <c r="P56" i="11"/>
  <c r="P61" i="11" s="1"/>
  <c r="N56" i="11"/>
  <c r="M56" i="11"/>
  <c r="L56" i="11"/>
  <c r="L61" i="11" s="1"/>
  <c r="J56" i="11"/>
  <c r="H56" i="11"/>
  <c r="H61" i="11" s="1"/>
  <c r="F56" i="11"/>
  <c r="O55" i="11"/>
  <c r="N55" i="11"/>
  <c r="K55" i="11"/>
  <c r="J55" i="11"/>
  <c r="I55" i="11"/>
  <c r="G55" i="11"/>
  <c r="G56" i="11" s="1"/>
  <c r="G61" i="11" s="1"/>
  <c r="N54" i="11"/>
  <c r="J54" i="11"/>
  <c r="I54" i="11"/>
  <c r="I56" i="11" s="1"/>
  <c r="O53" i="11"/>
  <c r="N53" i="11"/>
  <c r="K53" i="11"/>
  <c r="J53" i="11"/>
  <c r="I53" i="11"/>
  <c r="G53" i="11"/>
  <c r="Q51" i="11"/>
  <c r="Q52" i="11" s="1"/>
  <c r="P51" i="11"/>
  <c r="P52" i="11" s="1"/>
  <c r="M51" i="11"/>
  <c r="M52" i="11" s="1"/>
  <c r="L51" i="11"/>
  <c r="L52" i="11" s="1"/>
  <c r="H51" i="11"/>
  <c r="N51" i="11" s="1"/>
  <c r="G51" i="11"/>
  <c r="G52" i="11" s="1"/>
  <c r="F51" i="11"/>
  <c r="N50" i="11"/>
  <c r="K50" i="11"/>
  <c r="J50" i="11"/>
  <c r="I50" i="11"/>
  <c r="I51" i="11" s="1"/>
  <c r="G50" i="11"/>
  <c r="O49" i="11"/>
  <c r="N49" i="11"/>
  <c r="K49" i="11"/>
  <c r="J49" i="11"/>
  <c r="I49" i="11"/>
  <c r="O48" i="11"/>
  <c r="N48" i="11"/>
  <c r="K48" i="11"/>
  <c r="J48" i="11"/>
  <c r="I48" i="11"/>
  <c r="G48" i="11"/>
  <c r="Q47" i="11"/>
  <c r="P47" i="11"/>
  <c r="M47" i="11"/>
  <c r="L47" i="11"/>
  <c r="H47" i="11"/>
  <c r="N47" i="11" s="1"/>
  <c r="G47" i="11"/>
  <c r="F47" i="11"/>
  <c r="F52" i="11" s="1"/>
  <c r="N46" i="11"/>
  <c r="J46" i="11"/>
  <c r="I46" i="11"/>
  <c r="K46" i="11" s="1"/>
  <c r="G46" i="11"/>
  <c r="O45" i="11"/>
  <c r="N45" i="11"/>
  <c r="K45" i="11"/>
  <c r="J45" i="11"/>
  <c r="I45" i="11"/>
  <c r="K44" i="11"/>
  <c r="I44" i="11"/>
  <c r="O44" i="11" s="1"/>
  <c r="H44" i="11"/>
  <c r="J44" i="11" s="1"/>
  <c r="G44" i="11"/>
  <c r="L43" i="11"/>
  <c r="J43" i="11"/>
  <c r="H43" i="11"/>
  <c r="F43" i="11"/>
  <c r="Q42" i="11"/>
  <c r="P42" i="11"/>
  <c r="P43" i="11" s="1"/>
  <c r="N43" i="11" s="1"/>
  <c r="O42" i="11"/>
  <c r="N42" i="11"/>
  <c r="K42" i="11"/>
  <c r="J42" i="11"/>
  <c r="O41" i="11"/>
  <c r="N41" i="11"/>
  <c r="K41" i="11"/>
  <c r="J41" i="11"/>
  <c r="O40" i="11"/>
  <c r="N40" i="11"/>
  <c r="K40" i="11"/>
  <c r="J40" i="11"/>
  <c r="O39" i="11"/>
  <c r="N39" i="11"/>
  <c r="K39" i="11"/>
  <c r="J39" i="11"/>
  <c r="O38" i="11"/>
  <c r="N38" i="11"/>
  <c r="K38" i="11"/>
  <c r="J38" i="11"/>
  <c r="O37" i="11"/>
  <c r="N37" i="11"/>
  <c r="K37" i="11"/>
  <c r="J37" i="11"/>
  <c r="Q36" i="11"/>
  <c r="Q43" i="11" s="1"/>
  <c r="P36" i="11"/>
  <c r="N36" i="11"/>
  <c r="M36" i="11"/>
  <c r="M43" i="11" s="1"/>
  <c r="L36" i="11"/>
  <c r="J36" i="11"/>
  <c r="H36" i="11"/>
  <c r="F36" i="11"/>
  <c r="N35" i="11"/>
  <c r="J35" i="11"/>
  <c r="I35" i="11"/>
  <c r="K35" i="11" s="1"/>
  <c r="G35" i="11"/>
  <c r="G36" i="11" s="1"/>
  <c r="G43" i="11" s="1"/>
  <c r="Q32" i="11"/>
  <c r="P32" i="11"/>
  <c r="P33" i="11" s="1"/>
  <c r="M32" i="11"/>
  <c r="L32" i="11"/>
  <c r="L33" i="11" s="1"/>
  <c r="H32" i="11"/>
  <c r="H33" i="11" s="1"/>
  <c r="F32" i="11"/>
  <c r="F33" i="11" s="1"/>
  <c r="N31" i="11"/>
  <c r="J31" i="11"/>
  <c r="I31" i="11"/>
  <c r="K31" i="11" s="1"/>
  <c r="G31" i="11"/>
  <c r="N30" i="11"/>
  <c r="J30" i="11"/>
  <c r="I30" i="11"/>
  <c r="G30" i="11"/>
  <c r="N29" i="11"/>
  <c r="J29" i="11"/>
  <c r="I29" i="11"/>
  <c r="K29" i="11" s="1"/>
  <c r="G29" i="11"/>
  <c r="G32" i="11" s="1"/>
  <c r="Q28" i="11"/>
  <c r="Q33" i="11" s="1"/>
  <c r="P28" i="11"/>
  <c r="N28" i="11"/>
  <c r="M28" i="11"/>
  <c r="L28" i="11"/>
  <c r="J28" i="11"/>
  <c r="H28" i="11"/>
  <c r="F28" i="11"/>
  <c r="N27" i="11"/>
  <c r="J27" i="11"/>
  <c r="I27" i="11"/>
  <c r="K27" i="11" s="1"/>
  <c r="G27" i="11"/>
  <c r="O26" i="11"/>
  <c r="N26" i="11"/>
  <c r="K26" i="11"/>
  <c r="J26" i="11"/>
  <c r="I26" i="11"/>
  <c r="G26" i="11"/>
  <c r="G28" i="11" s="1"/>
  <c r="N25" i="11"/>
  <c r="J25" i="11"/>
  <c r="I25" i="11"/>
  <c r="K25" i="11" s="1"/>
  <c r="G25" i="11"/>
  <c r="F24" i="11"/>
  <c r="P23" i="11"/>
  <c r="P24" i="11" s="1"/>
  <c r="N23" i="11"/>
  <c r="M23" i="11"/>
  <c r="L23" i="11"/>
  <c r="L24" i="11" s="1"/>
  <c r="K23" i="11"/>
  <c r="J23" i="11"/>
  <c r="I23" i="11"/>
  <c r="H23" i="11"/>
  <c r="H24" i="11" s="1"/>
  <c r="F23" i="11"/>
  <c r="O22" i="11"/>
  <c r="N22" i="11"/>
  <c r="K22" i="11"/>
  <c r="J22" i="11"/>
  <c r="I22" i="11"/>
  <c r="G22" i="11"/>
  <c r="Q21" i="11"/>
  <c r="O21" i="11" s="1"/>
  <c r="P21" i="11"/>
  <c r="N21" i="11"/>
  <c r="K21" i="11"/>
  <c r="J21" i="11"/>
  <c r="I21" i="11"/>
  <c r="G21" i="11"/>
  <c r="Q20" i="11"/>
  <c r="Q23" i="11" s="1"/>
  <c r="O23" i="11" s="1"/>
  <c r="P20" i="11"/>
  <c r="N20" i="11"/>
  <c r="K20" i="11"/>
  <c r="J20" i="11"/>
  <c r="I20" i="11"/>
  <c r="G20" i="11"/>
  <c r="G23" i="11" s="1"/>
  <c r="Q19" i="11"/>
  <c r="P19" i="11"/>
  <c r="N19" i="11"/>
  <c r="M19" i="11"/>
  <c r="M24" i="11" s="1"/>
  <c r="L19" i="11"/>
  <c r="J19" i="11"/>
  <c r="H19" i="11"/>
  <c r="F19" i="11"/>
  <c r="N18" i="11"/>
  <c r="J18" i="11"/>
  <c r="I18" i="11"/>
  <c r="K18" i="11" s="1"/>
  <c r="G18" i="11"/>
  <c r="O17" i="11"/>
  <c r="N17" i="11"/>
  <c r="K17" i="11"/>
  <c r="J17" i="11"/>
  <c r="I17" i="11"/>
  <c r="G17" i="11"/>
  <c r="G19" i="11" s="1"/>
  <c r="N16" i="11"/>
  <c r="J16" i="11"/>
  <c r="I16" i="11"/>
  <c r="K16" i="11" s="1"/>
  <c r="G16" i="11"/>
  <c r="M15" i="11"/>
  <c r="P14" i="11"/>
  <c r="M14" i="11"/>
  <c r="L14" i="11"/>
  <c r="L15" i="11" s="1"/>
  <c r="L34" i="11" s="1"/>
  <c r="H14" i="11"/>
  <c r="H15" i="11" s="1"/>
  <c r="F14" i="11"/>
  <c r="O13" i="11"/>
  <c r="N13" i="11"/>
  <c r="K13" i="11"/>
  <c r="J13" i="11"/>
  <c r="I13" i="11"/>
  <c r="G13" i="11"/>
  <c r="Q12" i="11"/>
  <c r="N12" i="11"/>
  <c r="J12" i="11"/>
  <c r="I12" i="11"/>
  <c r="O12" i="11" s="1"/>
  <c r="G12" i="11"/>
  <c r="Q11" i="11"/>
  <c r="Q14" i="11" s="1"/>
  <c r="N11" i="11"/>
  <c r="J11" i="11"/>
  <c r="I11" i="11"/>
  <c r="I14" i="11" s="1"/>
  <c r="G11" i="11"/>
  <c r="P10" i="11"/>
  <c r="P15" i="11" s="1"/>
  <c r="N10" i="11"/>
  <c r="M10" i="11"/>
  <c r="L10" i="11"/>
  <c r="J10" i="11"/>
  <c r="H10" i="11"/>
  <c r="F10" i="11"/>
  <c r="F15" i="11" s="1"/>
  <c r="N9" i="11"/>
  <c r="K9" i="11"/>
  <c r="J9" i="11"/>
  <c r="I9" i="11"/>
  <c r="O9" i="11" s="1"/>
  <c r="G9" i="11"/>
  <c r="N8" i="11"/>
  <c r="J8" i="11"/>
  <c r="I8" i="11"/>
  <c r="K8" i="11" s="1"/>
  <c r="Q7" i="11"/>
  <c r="Q10" i="11" s="1"/>
  <c r="Q15" i="11" s="1"/>
  <c r="P7" i="11"/>
  <c r="K7" i="11"/>
  <c r="I7" i="11"/>
  <c r="I10" i="11" s="1"/>
  <c r="H7" i="11"/>
  <c r="J7" i="11" s="1"/>
  <c r="G7" i="11"/>
  <c r="G10" i="11" s="1"/>
  <c r="K7" i="9"/>
  <c r="K8" i="9"/>
  <c r="K9" i="9"/>
  <c r="K10" i="9"/>
  <c r="K11" i="9"/>
  <c r="K12" i="9"/>
  <c r="K13" i="9"/>
  <c r="K14" i="9"/>
  <c r="K16" i="9"/>
  <c r="K17" i="9"/>
  <c r="K18" i="9"/>
  <c r="K20" i="9"/>
  <c r="K21" i="9"/>
  <c r="K22" i="9"/>
  <c r="K25" i="9"/>
  <c r="K26" i="9"/>
  <c r="K27" i="9"/>
  <c r="K29" i="9"/>
  <c r="K30" i="9"/>
  <c r="K31" i="9"/>
  <c r="K35" i="9"/>
  <c r="K37" i="9"/>
  <c r="K38" i="9"/>
  <c r="K39" i="9"/>
  <c r="K40" i="9"/>
  <c r="K41" i="9"/>
  <c r="K42" i="9"/>
  <c r="K72" i="9"/>
  <c r="K73" i="9"/>
  <c r="K74" i="9"/>
  <c r="K76" i="9"/>
  <c r="K77" i="9"/>
  <c r="K78" i="9"/>
  <c r="K80" i="9"/>
  <c r="J14" i="9"/>
  <c r="J15" i="9"/>
  <c r="J16" i="9"/>
  <c r="J17" i="9"/>
  <c r="J18" i="9"/>
  <c r="J20" i="9"/>
  <c r="J21" i="9"/>
  <c r="J22" i="9"/>
  <c r="J25" i="9"/>
  <c r="J26" i="9"/>
  <c r="J27" i="9"/>
  <c r="J29" i="9"/>
  <c r="J30" i="9"/>
  <c r="J31" i="9"/>
  <c r="J35" i="9"/>
  <c r="J37" i="9"/>
  <c r="J38" i="9"/>
  <c r="J39" i="9"/>
  <c r="J40" i="9"/>
  <c r="J41" i="9"/>
  <c r="J42" i="9"/>
  <c r="J45" i="9"/>
  <c r="J46" i="9"/>
  <c r="J48" i="9"/>
  <c r="J49" i="9"/>
  <c r="J50" i="9"/>
  <c r="J53" i="9"/>
  <c r="J54" i="9"/>
  <c r="J55" i="9"/>
  <c r="J57" i="9"/>
  <c r="J58" i="9"/>
  <c r="J59" i="9"/>
  <c r="J62" i="9"/>
  <c r="J63" i="9"/>
  <c r="J64" i="9"/>
  <c r="J66" i="9"/>
  <c r="J67" i="9"/>
  <c r="J68" i="9"/>
  <c r="J72" i="9"/>
  <c r="J73" i="9"/>
  <c r="J74" i="9"/>
  <c r="J76" i="9"/>
  <c r="J77" i="9"/>
  <c r="J78" i="9"/>
  <c r="J80" i="9"/>
  <c r="J12" i="9"/>
  <c r="J13" i="9"/>
  <c r="J7" i="9"/>
  <c r="J8" i="9"/>
  <c r="J9" i="9"/>
  <c r="J10" i="9"/>
  <c r="J11" i="9"/>
  <c r="M81" i="9"/>
  <c r="M82" i="9" s="1"/>
  <c r="L81" i="9"/>
  <c r="L82" i="9" s="1"/>
  <c r="M79" i="9"/>
  <c r="L79" i="9"/>
  <c r="M75" i="9"/>
  <c r="L75" i="9"/>
  <c r="M69" i="9"/>
  <c r="L69" i="9"/>
  <c r="M65" i="9"/>
  <c r="M70" i="9" s="1"/>
  <c r="M71" i="9" s="1"/>
  <c r="L65" i="9"/>
  <c r="L70" i="9" s="1"/>
  <c r="M60" i="9"/>
  <c r="M61" i="9" s="1"/>
  <c r="L60" i="9"/>
  <c r="L61" i="9" s="1"/>
  <c r="M56" i="9"/>
  <c r="L56" i="9"/>
  <c r="M52" i="9"/>
  <c r="M51" i="9"/>
  <c r="L51" i="9"/>
  <c r="M47" i="9"/>
  <c r="L47" i="9"/>
  <c r="L52" i="9" s="1"/>
  <c r="M36" i="9"/>
  <c r="M43" i="9" s="1"/>
  <c r="L36" i="9"/>
  <c r="L43" i="9" s="1"/>
  <c r="M32" i="9"/>
  <c r="K32" i="9" s="1"/>
  <c r="L32" i="9"/>
  <c r="J32" i="9" s="1"/>
  <c r="M28" i="9"/>
  <c r="K28" i="9" s="1"/>
  <c r="L28" i="9"/>
  <c r="J28" i="9" s="1"/>
  <c r="M23" i="9"/>
  <c r="K23" i="9" s="1"/>
  <c r="L23" i="9"/>
  <c r="J23" i="9" s="1"/>
  <c r="M19" i="9"/>
  <c r="L19" i="9"/>
  <c r="M15" i="9"/>
  <c r="K15" i="9" s="1"/>
  <c r="L15" i="9"/>
  <c r="M14" i="9"/>
  <c r="L14" i="9"/>
  <c r="M10" i="9"/>
  <c r="L10" i="9"/>
  <c r="N36" i="16" l="1"/>
  <c r="G10" i="16"/>
  <c r="F33" i="16"/>
  <c r="P52" i="16"/>
  <c r="J56" i="16"/>
  <c r="P70" i="16"/>
  <c r="L15" i="16"/>
  <c r="I19" i="16"/>
  <c r="O19" i="16" s="1"/>
  <c r="K18" i="16"/>
  <c r="P24" i="16"/>
  <c r="F24" i="16"/>
  <c r="Q24" i="16"/>
  <c r="Q34" i="16" s="1"/>
  <c r="K25" i="16"/>
  <c r="K30" i="16"/>
  <c r="I44" i="16"/>
  <c r="H47" i="16"/>
  <c r="J47" i="16" s="1"/>
  <c r="L52" i="16"/>
  <c r="Q52" i="16"/>
  <c r="K62" i="16"/>
  <c r="K64" i="16"/>
  <c r="L70" i="16"/>
  <c r="N75" i="16"/>
  <c r="L82" i="16"/>
  <c r="N51" i="16"/>
  <c r="N69" i="16"/>
  <c r="N19" i="16"/>
  <c r="P33" i="16"/>
  <c r="J36" i="16"/>
  <c r="N60" i="16"/>
  <c r="P15" i="16"/>
  <c r="K9" i="16"/>
  <c r="M34" i="16"/>
  <c r="O21" i="16"/>
  <c r="J23" i="16"/>
  <c r="K27" i="16"/>
  <c r="G32" i="16"/>
  <c r="M33" i="16"/>
  <c r="H43" i="16"/>
  <c r="J43" i="16" s="1"/>
  <c r="J44" i="16"/>
  <c r="K46" i="16"/>
  <c r="M52" i="16"/>
  <c r="G61" i="16"/>
  <c r="M61" i="16"/>
  <c r="M71" i="16" s="1"/>
  <c r="M83" i="16" s="1"/>
  <c r="G65" i="16"/>
  <c r="G70" i="16" s="1"/>
  <c r="M70" i="16"/>
  <c r="M82" i="16"/>
  <c r="Q82" i="16"/>
  <c r="N79" i="16"/>
  <c r="I75" i="16"/>
  <c r="J75" i="16"/>
  <c r="H82" i="16"/>
  <c r="J82" i="16" s="1"/>
  <c r="J32" i="16"/>
  <c r="G14" i="16"/>
  <c r="N14" i="16"/>
  <c r="G79" i="16"/>
  <c r="Q15" i="16"/>
  <c r="Q71" i="16"/>
  <c r="F34" i="16"/>
  <c r="F83" i="16" s="1"/>
  <c r="O14" i="16"/>
  <c r="K14" i="16"/>
  <c r="N43" i="16"/>
  <c r="P34" i="16"/>
  <c r="N33" i="16"/>
  <c r="G52" i="16"/>
  <c r="O12" i="16"/>
  <c r="L33" i="16"/>
  <c r="L34" i="16" s="1"/>
  <c r="N7" i="16"/>
  <c r="O8" i="16"/>
  <c r="O11" i="16"/>
  <c r="G23" i="16"/>
  <c r="G24" i="16" s="1"/>
  <c r="N23" i="16"/>
  <c r="H24" i="16"/>
  <c r="N28" i="16"/>
  <c r="I51" i="16"/>
  <c r="O56" i="16"/>
  <c r="K56" i="16"/>
  <c r="O53" i="16"/>
  <c r="I60" i="16"/>
  <c r="H70" i="16"/>
  <c r="P71" i="16"/>
  <c r="I7" i="16"/>
  <c r="H10" i="16"/>
  <c r="K20" i="16"/>
  <c r="I23" i="16"/>
  <c r="G28" i="16"/>
  <c r="N32" i="16"/>
  <c r="I43" i="16"/>
  <c r="O36" i="16"/>
  <c r="K36" i="16"/>
  <c r="O44" i="16"/>
  <c r="K67" i="16"/>
  <c r="I69" i="16"/>
  <c r="K72" i="16"/>
  <c r="O75" i="16"/>
  <c r="K75" i="16"/>
  <c r="O72" i="16"/>
  <c r="P82" i="16"/>
  <c r="J19" i="16"/>
  <c r="O50" i="16"/>
  <c r="O59" i="16"/>
  <c r="K11" i="16"/>
  <c r="O22" i="16"/>
  <c r="O28" i="16"/>
  <c r="K28" i="16"/>
  <c r="K53" i="16"/>
  <c r="L61" i="16"/>
  <c r="L71" i="16" s="1"/>
  <c r="L83" i="16" s="1"/>
  <c r="O65" i="16"/>
  <c r="K65" i="16"/>
  <c r="O62" i="16"/>
  <c r="G75" i="16"/>
  <c r="G82" i="16" s="1"/>
  <c r="O26" i="16"/>
  <c r="O29" i="16"/>
  <c r="O31" i="16"/>
  <c r="I32" i="16"/>
  <c r="Q43" i="16"/>
  <c r="O45" i="16"/>
  <c r="O48" i="16"/>
  <c r="O55" i="16"/>
  <c r="H61" i="16"/>
  <c r="O63" i="16"/>
  <c r="O66" i="16"/>
  <c r="O73" i="16"/>
  <c r="K74" i="16"/>
  <c r="O76" i="16"/>
  <c r="O77" i="16"/>
  <c r="O78" i="16"/>
  <c r="I79" i="16"/>
  <c r="O16" i="16"/>
  <c r="O25" i="16"/>
  <c r="O35" i="16"/>
  <c r="J60" i="16"/>
  <c r="I79" i="15"/>
  <c r="K79" i="15" s="1"/>
  <c r="O77" i="15"/>
  <c r="F82" i="15"/>
  <c r="K35" i="15"/>
  <c r="N32" i="15"/>
  <c r="I28" i="15"/>
  <c r="K28" i="15" s="1"/>
  <c r="K27" i="15"/>
  <c r="O21" i="15"/>
  <c r="G24" i="15"/>
  <c r="P15" i="15"/>
  <c r="N10" i="15"/>
  <c r="P23" i="15"/>
  <c r="N23" i="15" s="1"/>
  <c r="N20" i="15"/>
  <c r="N76" i="15"/>
  <c r="P79" i="15"/>
  <c r="O10" i="15"/>
  <c r="K10" i="15"/>
  <c r="O14" i="15"/>
  <c r="K14" i="15"/>
  <c r="I15" i="15"/>
  <c r="Q34" i="15"/>
  <c r="O9" i="15"/>
  <c r="P82" i="15"/>
  <c r="N28" i="15"/>
  <c r="J28" i="15"/>
  <c r="F34" i="15"/>
  <c r="O28" i="15"/>
  <c r="K29" i="15"/>
  <c r="O29" i="15"/>
  <c r="I32" i="15"/>
  <c r="O43" i="15"/>
  <c r="K43" i="15"/>
  <c r="G82" i="15"/>
  <c r="N47" i="15"/>
  <c r="J47" i="15"/>
  <c r="K48" i="15"/>
  <c r="I51" i="15"/>
  <c r="N60" i="15"/>
  <c r="J60" i="15"/>
  <c r="N65" i="15"/>
  <c r="J65" i="15"/>
  <c r="K66" i="15"/>
  <c r="I69" i="15"/>
  <c r="G14" i="15"/>
  <c r="G15" i="15" s="1"/>
  <c r="O12" i="15"/>
  <c r="N19" i="15"/>
  <c r="J19" i="15"/>
  <c r="O19" i="15"/>
  <c r="O60" i="15"/>
  <c r="K60" i="15"/>
  <c r="I65" i="15"/>
  <c r="K63" i="15"/>
  <c r="I75" i="15"/>
  <c r="K72" i="15"/>
  <c r="Q82" i="15"/>
  <c r="H15" i="15"/>
  <c r="P24" i="15"/>
  <c r="P34" i="15" s="1"/>
  <c r="H24" i="15"/>
  <c r="L33" i="15"/>
  <c r="L34" i="15" s="1"/>
  <c r="H43" i="15"/>
  <c r="N36" i="15"/>
  <c r="J36" i="15"/>
  <c r="O36" i="15"/>
  <c r="I47" i="15"/>
  <c r="L52" i="15"/>
  <c r="P52" i="15"/>
  <c r="G61" i="15"/>
  <c r="G71" i="15" s="1"/>
  <c r="I56" i="15"/>
  <c r="H61" i="15"/>
  <c r="L70" i="15"/>
  <c r="L71" i="15" s="1"/>
  <c r="P70" i="15"/>
  <c r="N75" i="15"/>
  <c r="J75" i="15"/>
  <c r="O79" i="15"/>
  <c r="N81" i="15"/>
  <c r="J81" i="15"/>
  <c r="K12" i="15"/>
  <c r="O20" i="15"/>
  <c r="I23" i="15"/>
  <c r="G32" i="15"/>
  <c r="G33" i="15" s="1"/>
  <c r="H33" i="15"/>
  <c r="K36" i="15"/>
  <c r="Q43" i="15"/>
  <c r="O48" i="15"/>
  <c r="O49" i="15"/>
  <c r="H52" i="15"/>
  <c r="O55" i="15"/>
  <c r="I61" i="15"/>
  <c r="O66" i="15"/>
  <c r="O67" i="15"/>
  <c r="H70" i="15"/>
  <c r="M71" i="15"/>
  <c r="M83" i="15" s="1"/>
  <c r="Q71" i="15"/>
  <c r="O76" i="15"/>
  <c r="N79" i="15"/>
  <c r="I82" i="15"/>
  <c r="H82" i="15"/>
  <c r="O44" i="15"/>
  <c r="O16" i="15"/>
  <c r="O25" i="15"/>
  <c r="O35" i="15"/>
  <c r="M24" i="14"/>
  <c r="L34" i="14"/>
  <c r="M34" i="14"/>
  <c r="J14" i="14"/>
  <c r="O77" i="14"/>
  <c r="I79" i="14"/>
  <c r="K79" i="14" s="1"/>
  <c r="K76" i="14"/>
  <c r="G75" i="14"/>
  <c r="G82" i="14" s="1"/>
  <c r="O29" i="14"/>
  <c r="N32" i="14"/>
  <c r="G32" i="14"/>
  <c r="F34" i="14"/>
  <c r="F83" i="14" s="1"/>
  <c r="N14" i="14"/>
  <c r="G15" i="14"/>
  <c r="J7" i="14"/>
  <c r="H10" i="14"/>
  <c r="I7" i="14"/>
  <c r="I19" i="14"/>
  <c r="H33" i="14"/>
  <c r="N28" i="14"/>
  <c r="J28" i="14"/>
  <c r="H43" i="14"/>
  <c r="N36" i="14"/>
  <c r="J36" i="14"/>
  <c r="I51" i="14"/>
  <c r="K49" i="14"/>
  <c r="I56" i="14"/>
  <c r="K53" i="14"/>
  <c r="I69" i="14"/>
  <c r="K67" i="14"/>
  <c r="Q82" i="14"/>
  <c r="O79" i="14"/>
  <c r="I32" i="14"/>
  <c r="K30" i="14"/>
  <c r="I43" i="14"/>
  <c r="O36" i="14"/>
  <c r="K36" i="14"/>
  <c r="P52" i="14"/>
  <c r="N65" i="14"/>
  <c r="J65" i="14"/>
  <c r="Q71" i="14"/>
  <c r="P70" i="14"/>
  <c r="P71" i="14" s="1"/>
  <c r="N7" i="14"/>
  <c r="Q23" i="14"/>
  <c r="O23" i="14" s="1"/>
  <c r="O20" i="14"/>
  <c r="L52" i="14"/>
  <c r="I60" i="14"/>
  <c r="L70" i="14"/>
  <c r="P23" i="14"/>
  <c r="N23" i="14" s="1"/>
  <c r="N20" i="14"/>
  <c r="I28" i="14"/>
  <c r="N47" i="14"/>
  <c r="J47" i="14"/>
  <c r="G65" i="14"/>
  <c r="G70" i="14" s="1"/>
  <c r="G71" i="14" s="1"/>
  <c r="I14" i="14"/>
  <c r="K11" i="14"/>
  <c r="Q14" i="14"/>
  <c r="Q15" i="14" s="1"/>
  <c r="G19" i="14"/>
  <c r="G24" i="14" s="1"/>
  <c r="O16" i="14"/>
  <c r="H24" i="14"/>
  <c r="N19" i="14"/>
  <c r="J19" i="14"/>
  <c r="G28" i="14"/>
  <c r="G33" i="14" s="1"/>
  <c r="O25" i="14"/>
  <c r="O49" i="14"/>
  <c r="O53" i="14"/>
  <c r="O59" i="14"/>
  <c r="M71" i="14"/>
  <c r="O67" i="14"/>
  <c r="F71" i="14"/>
  <c r="K72" i="14"/>
  <c r="I75" i="14"/>
  <c r="H82" i="14"/>
  <c r="N75" i="14"/>
  <c r="J75" i="14"/>
  <c r="P79" i="14"/>
  <c r="N76" i="14"/>
  <c r="N44" i="14"/>
  <c r="H52" i="14"/>
  <c r="I65" i="14"/>
  <c r="O74" i="14"/>
  <c r="I44" i="14"/>
  <c r="O46" i="14"/>
  <c r="O54" i="14"/>
  <c r="O57" i="14"/>
  <c r="O64" i="14"/>
  <c r="H70" i="14"/>
  <c r="J51" i="14"/>
  <c r="J69" i="14"/>
  <c r="O76" i="14"/>
  <c r="M82" i="13"/>
  <c r="I79" i="13"/>
  <c r="K79" i="13" s="1"/>
  <c r="O76" i="13"/>
  <c r="J75" i="13"/>
  <c r="O77" i="13"/>
  <c r="H82" i="13"/>
  <c r="J82" i="13" s="1"/>
  <c r="O75" i="13"/>
  <c r="G75" i="13"/>
  <c r="G82" i="13" s="1"/>
  <c r="I23" i="13"/>
  <c r="K20" i="13"/>
  <c r="J23" i="13"/>
  <c r="N23" i="13"/>
  <c r="O43" i="13"/>
  <c r="O42" i="13"/>
  <c r="H47" i="13"/>
  <c r="N47" i="13" s="1"/>
  <c r="K48" i="13"/>
  <c r="K50" i="13"/>
  <c r="J51" i="13"/>
  <c r="K55" i="13"/>
  <c r="G60" i="13"/>
  <c r="O57" i="13"/>
  <c r="L61" i="13"/>
  <c r="L71" i="13" s="1"/>
  <c r="L83" i="13" s="1"/>
  <c r="K62" i="13"/>
  <c r="L70" i="13"/>
  <c r="G69" i="13"/>
  <c r="J69" i="13"/>
  <c r="K46" i="13"/>
  <c r="G65" i="13"/>
  <c r="F70" i="13"/>
  <c r="M52" i="13"/>
  <c r="F61" i="13"/>
  <c r="P70" i="13"/>
  <c r="N69" i="13"/>
  <c r="N51" i="13"/>
  <c r="O54" i="13"/>
  <c r="N56" i="13"/>
  <c r="Q61" i="13"/>
  <c r="K63" i="13"/>
  <c r="O64" i="13"/>
  <c r="K65" i="13"/>
  <c r="P71" i="13"/>
  <c r="O68" i="13"/>
  <c r="Q82" i="13"/>
  <c r="O66" i="13"/>
  <c r="G47" i="13"/>
  <c r="G52" i="13" s="1"/>
  <c r="K44" i="13"/>
  <c r="K45" i="13"/>
  <c r="I56" i="13"/>
  <c r="O56" i="13" s="1"/>
  <c r="G56" i="13"/>
  <c r="M61" i="13"/>
  <c r="H61" i="13"/>
  <c r="N61" i="13" s="1"/>
  <c r="F82" i="13"/>
  <c r="J81" i="13"/>
  <c r="N81" i="13"/>
  <c r="G70" i="13"/>
  <c r="Q52" i="13"/>
  <c r="K81" i="13"/>
  <c r="K35" i="13"/>
  <c r="O36" i="13"/>
  <c r="K36" i="13"/>
  <c r="O31" i="13"/>
  <c r="I32" i="13"/>
  <c r="I33" i="13" s="1"/>
  <c r="O33" i="13" s="1"/>
  <c r="K30" i="13"/>
  <c r="J32" i="13"/>
  <c r="N32" i="13"/>
  <c r="N14" i="13"/>
  <c r="J14" i="13"/>
  <c r="G14" i="13"/>
  <c r="G15" i="13" s="1"/>
  <c r="G32" i="13"/>
  <c r="G33" i="13" s="1"/>
  <c r="F33" i="13"/>
  <c r="F34" i="13" s="1"/>
  <c r="G28" i="13"/>
  <c r="H34" i="13"/>
  <c r="N15" i="13"/>
  <c r="J15" i="13"/>
  <c r="N43" i="13"/>
  <c r="J43" i="13"/>
  <c r="N10" i="13"/>
  <c r="P15" i="13"/>
  <c r="J24" i="13"/>
  <c r="O10" i="13"/>
  <c r="K10" i="13"/>
  <c r="Q15" i="13"/>
  <c r="Q34" i="13" s="1"/>
  <c r="L34" i="13"/>
  <c r="G24" i="13"/>
  <c r="P24" i="13"/>
  <c r="N24" i="13" s="1"/>
  <c r="I24" i="13"/>
  <c r="P34" i="13"/>
  <c r="Q71" i="13"/>
  <c r="Q83" i="13" s="1"/>
  <c r="N79" i="13"/>
  <c r="P82" i="13"/>
  <c r="I15" i="13"/>
  <c r="O14" i="13"/>
  <c r="K14" i="13"/>
  <c r="J33" i="13"/>
  <c r="N33" i="13"/>
  <c r="F71" i="13"/>
  <c r="I60" i="13"/>
  <c r="K9" i="13"/>
  <c r="O11" i="13"/>
  <c r="K13" i="13"/>
  <c r="K17" i="13"/>
  <c r="I19" i="13"/>
  <c r="K23" i="13"/>
  <c r="O23" i="13"/>
  <c r="O32" i="13"/>
  <c r="K43" i="13"/>
  <c r="I47" i="13"/>
  <c r="H52" i="13"/>
  <c r="H70" i="13"/>
  <c r="O12" i="13"/>
  <c r="O59" i="13"/>
  <c r="O7" i="13"/>
  <c r="K12" i="13"/>
  <c r="J19" i="13"/>
  <c r="N20" i="13"/>
  <c r="J28" i="13"/>
  <c r="J36" i="13"/>
  <c r="N36" i="13"/>
  <c r="J47" i="13"/>
  <c r="K49" i="13"/>
  <c r="I51" i="13"/>
  <c r="K53" i="13"/>
  <c r="J65" i="13"/>
  <c r="K67" i="13"/>
  <c r="I69" i="13"/>
  <c r="N76" i="13"/>
  <c r="O53" i="13"/>
  <c r="M33" i="12"/>
  <c r="M34" i="12" s="1"/>
  <c r="M83" i="12" s="1"/>
  <c r="L34" i="12"/>
  <c r="J43" i="12"/>
  <c r="N43" i="12"/>
  <c r="N36" i="12"/>
  <c r="J36" i="12"/>
  <c r="K31" i="12"/>
  <c r="G32" i="12"/>
  <c r="J32" i="12"/>
  <c r="H33" i="12"/>
  <c r="N33" i="12" s="1"/>
  <c r="J28" i="12"/>
  <c r="F33" i="12"/>
  <c r="G33" i="12"/>
  <c r="G14" i="12"/>
  <c r="G15" i="12" s="1"/>
  <c r="F15" i="12"/>
  <c r="F34" i="12" s="1"/>
  <c r="P34" i="12"/>
  <c r="Q34" i="12"/>
  <c r="O32" i="12"/>
  <c r="K32" i="12"/>
  <c r="G71" i="12"/>
  <c r="Q82" i="12"/>
  <c r="Q83" i="12" s="1"/>
  <c r="O79" i="12"/>
  <c r="P83" i="12"/>
  <c r="N82" i="12"/>
  <c r="O14" i="12"/>
  <c r="K14" i="12"/>
  <c r="L71" i="12"/>
  <c r="O56" i="12"/>
  <c r="K56" i="12"/>
  <c r="I61" i="12"/>
  <c r="Q71" i="12"/>
  <c r="F71" i="12"/>
  <c r="N7" i="12"/>
  <c r="O8" i="12"/>
  <c r="O11" i="12"/>
  <c r="O16" i="12"/>
  <c r="O18" i="12"/>
  <c r="I19" i="12"/>
  <c r="O25" i="12"/>
  <c r="O27" i="12"/>
  <c r="I28" i="12"/>
  <c r="O30" i="12"/>
  <c r="O35" i="12"/>
  <c r="I36" i="12"/>
  <c r="N44" i="12"/>
  <c r="O46" i="12"/>
  <c r="H52" i="12"/>
  <c r="O54" i="12"/>
  <c r="O57" i="12"/>
  <c r="O64" i="12"/>
  <c r="I65" i="12"/>
  <c r="I70" i="12" s="1"/>
  <c r="H70" i="12"/>
  <c r="K82" i="12"/>
  <c r="O82" i="12"/>
  <c r="I7" i="12"/>
  <c r="H10" i="12"/>
  <c r="K12" i="12"/>
  <c r="I44" i="12"/>
  <c r="J47" i="12"/>
  <c r="K60" i="12"/>
  <c r="O60" i="12"/>
  <c r="K11" i="12"/>
  <c r="O20" i="12"/>
  <c r="K30" i="12"/>
  <c r="J51" i="12"/>
  <c r="K54" i="12"/>
  <c r="J69" i="12"/>
  <c r="O76" i="12"/>
  <c r="M33" i="11"/>
  <c r="O31" i="11"/>
  <c r="O29" i="11"/>
  <c r="N32" i="11"/>
  <c r="J32" i="11"/>
  <c r="I32" i="11"/>
  <c r="K32" i="11" s="1"/>
  <c r="K12" i="11"/>
  <c r="N14" i="11"/>
  <c r="J14" i="11"/>
  <c r="F34" i="11"/>
  <c r="F83" i="11" s="1"/>
  <c r="G14" i="11"/>
  <c r="G15" i="11" s="1"/>
  <c r="N61" i="11"/>
  <c r="J61" i="11"/>
  <c r="K70" i="11"/>
  <c r="O70" i="11"/>
  <c r="L71" i="11"/>
  <c r="O10" i="11"/>
  <c r="K10" i="11"/>
  <c r="I15" i="11"/>
  <c r="O14" i="11"/>
  <c r="K14" i="11"/>
  <c r="M34" i="11"/>
  <c r="M83" i="11" s="1"/>
  <c r="J24" i="11"/>
  <c r="N24" i="11"/>
  <c r="J33" i="11"/>
  <c r="N33" i="11"/>
  <c r="O51" i="11"/>
  <c r="K51" i="11"/>
  <c r="I52" i="11"/>
  <c r="F71" i="11"/>
  <c r="M71" i="11"/>
  <c r="G24" i="11"/>
  <c r="G33" i="11"/>
  <c r="P34" i="11"/>
  <c r="O56" i="11"/>
  <c r="K56" i="11"/>
  <c r="G71" i="11"/>
  <c r="P71" i="11"/>
  <c r="L83" i="11"/>
  <c r="J15" i="11"/>
  <c r="H34" i="11"/>
  <c r="N15" i="11"/>
  <c r="Q24" i="11"/>
  <c r="Q34" i="11"/>
  <c r="O32" i="11"/>
  <c r="Q71" i="11"/>
  <c r="Q83" i="11" s="1"/>
  <c r="P83" i="11"/>
  <c r="N82" i="11"/>
  <c r="I61" i="11"/>
  <c r="I71" i="11" s="1"/>
  <c r="N7" i="11"/>
  <c r="O8" i="11"/>
  <c r="O11" i="11"/>
  <c r="O16" i="11"/>
  <c r="O18" i="11"/>
  <c r="I19" i="11"/>
  <c r="O25" i="11"/>
  <c r="O27" i="11"/>
  <c r="I28" i="11"/>
  <c r="O30" i="11"/>
  <c r="O35" i="11"/>
  <c r="I36" i="11"/>
  <c r="N44" i="11"/>
  <c r="O46" i="11"/>
  <c r="I47" i="11"/>
  <c r="H52" i="11"/>
  <c r="H71" i="11" s="1"/>
  <c r="O54" i="11"/>
  <c r="O57" i="11"/>
  <c r="K82" i="11"/>
  <c r="O82" i="11"/>
  <c r="O7" i="11"/>
  <c r="J47" i="11"/>
  <c r="O50" i="11"/>
  <c r="K60" i="11"/>
  <c r="K11" i="11"/>
  <c r="O20" i="11"/>
  <c r="K30" i="11"/>
  <c r="J51" i="11"/>
  <c r="K54" i="11"/>
  <c r="K65" i="11"/>
  <c r="J70" i="11"/>
  <c r="K36" i="9"/>
  <c r="J36" i="9"/>
  <c r="M33" i="9"/>
  <c r="K33" i="9" s="1"/>
  <c r="L33" i="9"/>
  <c r="J33" i="9" s="1"/>
  <c r="M24" i="9"/>
  <c r="K24" i="9" s="1"/>
  <c r="L24" i="9"/>
  <c r="J24" i="9" s="1"/>
  <c r="K19" i="9"/>
  <c r="J19" i="9"/>
  <c r="L71" i="9"/>
  <c r="Q83" i="16" l="1"/>
  <c r="P83" i="16"/>
  <c r="H52" i="16"/>
  <c r="J52" i="16" s="1"/>
  <c r="K19" i="16"/>
  <c r="I47" i="16"/>
  <c r="K44" i="16"/>
  <c r="G33" i="16"/>
  <c r="N47" i="16"/>
  <c r="G71" i="16"/>
  <c r="G15" i="16"/>
  <c r="G34" i="16"/>
  <c r="G83" i="16" s="1"/>
  <c r="K79" i="16"/>
  <c r="O79" i="16"/>
  <c r="N61" i="16"/>
  <c r="J61" i="16"/>
  <c r="N52" i="16"/>
  <c r="I82" i="16"/>
  <c r="K60" i="16"/>
  <c r="I61" i="16"/>
  <c r="O60" i="16"/>
  <c r="I52" i="16"/>
  <c r="O51" i="16"/>
  <c r="K51" i="16"/>
  <c r="N82" i="16"/>
  <c r="O32" i="16"/>
  <c r="K32" i="16"/>
  <c r="I33" i="16"/>
  <c r="H15" i="16"/>
  <c r="N10" i="16"/>
  <c r="J10" i="16"/>
  <c r="J33" i="16"/>
  <c r="I70" i="16"/>
  <c r="O69" i="16"/>
  <c r="K69" i="16"/>
  <c r="O23" i="16"/>
  <c r="K23" i="16"/>
  <c r="I24" i="16"/>
  <c r="I10" i="16"/>
  <c r="O7" i="16"/>
  <c r="K7" i="16"/>
  <c r="J24" i="16"/>
  <c r="N24" i="16"/>
  <c r="O43" i="16"/>
  <c r="K43" i="16"/>
  <c r="H71" i="16"/>
  <c r="N70" i="16"/>
  <c r="J70" i="16"/>
  <c r="F83" i="15"/>
  <c r="G34" i="15"/>
  <c r="G83" i="15" s="1"/>
  <c r="L83" i="15"/>
  <c r="I52" i="15"/>
  <c r="O51" i="15"/>
  <c r="K51" i="15"/>
  <c r="O15" i="15"/>
  <c r="K15" i="15"/>
  <c r="O82" i="15"/>
  <c r="K82" i="15"/>
  <c r="O61" i="15"/>
  <c r="K61" i="15"/>
  <c r="N61" i="15"/>
  <c r="J61" i="15"/>
  <c r="K75" i="15"/>
  <c r="O75" i="15"/>
  <c r="O32" i="15"/>
  <c r="K32" i="15"/>
  <c r="I33" i="15"/>
  <c r="N33" i="15"/>
  <c r="J33" i="15"/>
  <c r="J24" i="15"/>
  <c r="N24" i="15"/>
  <c r="H71" i="15"/>
  <c r="J70" i="15"/>
  <c r="N70" i="15"/>
  <c r="O23" i="15"/>
  <c r="K23" i="15"/>
  <c r="I24" i="15"/>
  <c r="O56" i="15"/>
  <c r="K56" i="15"/>
  <c r="K47" i="15"/>
  <c r="O47" i="15"/>
  <c r="N43" i="15"/>
  <c r="J43" i="15"/>
  <c r="H34" i="15"/>
  <c r="N15" i="15"/>
  <c r="J15" i="15"/>
  <c r="I70" i="15"/>
  <c r="O69" i="15"/>
  <c r="K69" i="15"/>
  <c r="N82" i="15"/>
  <c r="J82" i="15"/>
  <c r="H83" i="15"/>
  <c r="J52" i="15"/>
  <c r="N52" i="15"/>
  <c r="P71" i="15"/>
  <c r="P83" i="15" s="1"/>
  <c r="Q83" i="15"/>
  <c r="K65" i="15"/>
  <c r="O65" i="15"/>
  <c r="M83" i="14"/>
  <c r="G34" i="14"/>
  <c r="G83" i="14"/>
  <c r="J82" i="14"/>
  <c r="N82" i="14"/>
  <c r="O60" i="14"/>
  <c r="K60" i="14"/>
  <c r="I61" i="14"/>
  <c r="I33" i="14"/>
  <c r="O32" i="14"/>
  <c r="K32" i="14"/>
  <c r="I70" i="14"/>
  <c r="K69" i="14"/>
  <c r="O69" i="14"/>
  <c r="K51" i="14"/>
  <c r="O51" i="14"/>
  <c r="Q24" i="14"/>
  <c r="Q34" i="14" s="1"/>
  <c r="N10" i="14"/>
  <c r="J10" i="14"/>
  <c r="O65" i="14"/>
  <c r="K65" i="14"/>
  <c r="P82" i="14"/>
  <c r="P83" i="14" s="1"/>
  <c r="N79" i="14"/>
  <c r="O75" i="14"/>
  <c r="K75" i="14"/>
  <c r="Q83" i="14"/>
  <c r="O19" i="14"/>
  <c r="K19" i="14"/>
  <c r="N70" i="14"/>
  <c r="J70" i="14"/>
  <c r="H71" i="14"/>
  <c r="N52" i="14"/>
  <c r="J52" i="14"/>
  <c r="J24" i="14"/>
  <c r="N24" i="14"/>
  <c r="I24" i="14"/>
  <c r="O43" i="14"/>
  <c r="K43" i="14"/>
  <c r="H15" i="14"/>
  <c r="O56" i="14"/>
  <c r="K56" i="14"/>
  <c r="O44" i="14"/>
  <c r="I47" i="14"/>
  <c r="K44" i="14"/>
  <c r="P24" i="14"/>
  <c r="P34" i="14" s="1"/>
  <c r="I15" i="14"/>
  <c r="O14" i="14"/>
  <c r="K14" i="14"/>
  <c r="O28" i="14"/>
  <c r="K28" i="14"/>
  <c r="L71" i="14"/>
  <c r="L83" i="14" s="1"/>
  <c r="I82" i="14"/>
  <c r="N43" i="14"/>
  <c r="J43" i="14"/>
  <c r="N33" i="14"/>
  <c r="J33" i="14"/>
  <c r="I10" i="14"/>
  <c r="O7" i="14"/>
  <c r="K7" i="14"/>
  <c r="I82" i="13"/>
  <c r="K82" i="13" s="1"/>
  <c r="O79" i="13"/>
  <c r="K56" i="13"/>
  <c r="M71" i="13"/>
  <c r="M83" i="13" s="1"/>
  <c r="J61" i="13"/>
  <c r="G61" i="13"/>
  <c r="G71" i="13" s="1"/>
  <c r="K32" i="13"/>
  <c r="K33" i="13"/>
  <c r="G34" i="13"/>
  <c r="F83" i="13"/>
  <c r="N52" i="13"/>
  <c r="J52" i="13"/>
  <c r="O47" i="13"/>
  <c r="K47" i="13"/>
  <c r="O24" i="13"/>
  <c r="K24" i="13"/>
  <c r="J34" i="13"/>
  <c r="N34" i="13"/>
  <c r="N70" i="13"/>
  <c r="J70" i="13"/>
  <c r="H71" i="13"/>
  <c r="N82" i="13"/>
  <c r="P83" i="13"/>
  <c r="I70" i="13"/>
  <c r="K69" i="13"/>
  <c r="O69" i="13"/>
  <c r="I52" i="13"/>
  <c r="K51" i="13"/>
  <c r="O51" i="13"/>
  <c r="O19" i="13"/>
  <c r="K19" i="13"/>
  <c r="O60" i="13"/>
  <c r="K60" i="13"/>
  <c r="I61" i="13"/>
  <c r="I34" i="13"/>
  <c r="O15" i="13"/>
  <c r="K15" i="13"/>
  <c r="L83" i="12"/>
  <c r="J33" i="12"/>
  <c r="G34" i="12"/>
  <c r="F83" i="12"/>
  <c r="G83" i="12"/>
  <c r="O70" i="12"/>
  <c r="K70" i="12"/>
  <c r="O44" i="12"/>
  <c r="K44" i="12"/>
  <c r="I47" i="12"/>
  <c r="O28" i="12"/>
  <c r="K28" i="12"/>
  <c r="I33" i="12"/>
  <c r="O19" i="12"/>
  <c r="K19" i="12"/>
  <c r="N10" i="12"/>
  <c r="J10" i="12"/>
  <c r="N70" i="12"/>
  <c r="J70" i="12"/>
  <c r="H71" i="12"/>
  <c r="I43" i="12"/>
  <c r="O36" i="12"/>
  <c r="K36" i="12"/>
  <c r="O61" i="12"/>
  <c r="K61" i="12"/>
  <c r="I10" i="12"/>
  <c r="K7" i="12"/>
  <c r="O7" i="12"/>
  <c r="O65" i="12"/>
  <c r="K65" i="12"/>
  <c r="N52" i="12"/>
  <c r="J52" i="12"/>
  <c r="H15" i="12"/>
  <c r="I24" i="12"/>
  <c r="I33" i="11"/>
  <c r="N71" i="11"/>
  <c r="J71" i="11"/>
  <c r="H83" i="11"/>
  <c r="K71" i="11"/>
  <c r="O71" i="11"/>
  <c r="I43" i="11"/>
  <c r="O36" i="11"/>
  <c r="K36" i="11"/>
  <c r="O33" i="11"/>
  <c r="K33" i="11"/>
  <c r="J34" i="11"/>
  <c r="N34" i="11"/>
  <c r="K52" i="11"/>
  <c r="O52" i="11"/>
  <c r="O47" i="11"/>
  <c r="K47" i="11"/>
  <c r="O19" i="11"/>
  <c r="K19" i="11"/>
  <c r="G34" i="11"/>
  <c r="G83" i="11" s="1"/>
  <c r="O15" i="11"/>
  <c r="K15" i="11"/>
  <c r="O28" i="11"/>
  <c r="K28" i="11"/>
  <c r="I24" i="11"/>
  <c r="N52" i="11"/>
  <c r="J52" i="11"/>
  <c r="O61" i="11"/>
  <c r="K61" i="11"/>
  <c r="M34" i="9"/>
  <c r="K34" i="9" s="1"/>
  <c r="L34" i="9"/>
  <c r="J34" i="9" s="1"/>
  <c r="K47" i="16" l="1"/>
  <c r="O47" i="16"/>
  <c r="O10" i="16"/>
  <c r="K10" i="16"/>
  <c r="I15" i="16"/>
  <c r="O33" i="16"/>
  <c r="K33" i="16"/>
  <c r="O61" i="16"/>
  <c r="K61" i="16"/>
  <c r="N71" i="16"/>
  <c r="J71" i="16"/>
  <c r="O24" i="16"/>
  <c r="K24" i="16"/>
  <c r="J15" i="16"/>
  <c r="H34" i="16"/>
  <c r="N15" i="16"/>
  <c r="O70" i="16"/>
  <c r="I71" i="16"/>
  <c r="K70" i="16"/>
  <c r="K52" i="16"/>
  <c r="O52" i="16"/>
  <c r="O82" i="16"/>
  <c r="K82" i="16"/>
  <c r="O24" i="15"/>
  <c r="K24" i="15"/>
  <c r="I34" i="15"/>
  <c r="N83" i="15"/>
  <c r="J83" i="15"/>
  <c r="N71" i="15"/>
  <c r="J71" i="15"/>
  <c r="K52" i="15"/>
  <c r="O52" i="15"/>
  <c r="J34" i="15"/>
  <c r="N34" i="15"/>
  <c r="I71" i="15"/>
  <c r="K70" i="15"/>
  <c r="O70" i="15"/>
  <c r="O33" i="15"/>
  <c r="K33" i="15"/>
  <c r="O82" i="14"/>
  <c r="K82" i="14"/>
  <c r="O24" i="14"/>
  <c r="K24" i="14"/>
  <c r="O33" i="14"/>
  <c r="K33" i="14"/>
  <c r="O47" i="14"/>
  <c r="K47" i="14"/>
  <c r="H34" i="14"/>
  <c r="J15" i="14"/>
  <c r="N15" i="14"/>
  <c r="N71" i="14"/>
  <c r="J71" i="14"/>
  <c r="O70" i="14"/>
  <c r="K70" i="14"/>
  <c r="O61" i="14"/>
  <c r="K61" i="14"/>
  <c r="I34" i="14"/>
  <c r="O15" i="14"/>
  <c r="K15" i="14"/>
  <c r="I52" i="14"/>
  <c r="H83" i="14"/>
  <c r="O10" i="14"/>
  <c r="K10" i="14"/>
  <c r="O82" i="13"/>
  <c r="G83" i="13"/>
  <c r="I71" i="13"/>
  <c r="K70" i="13"/>
  <c r="O70" i="13"/>
  <c r="O34" i="13"/>
  <c r="K34" i="13"/>
  <c r="O52" i="13"/>
  <c r="K52" i="13"/>
  <c r="O61" i="13"/>
  <c r="K61" i="13"/>
  <c r="N71" i="13"/>
  <c r="J71" i="13"/>
  <c r="H83" i="13"/>
  <c r="N71" i="12"/>
  <c r="J71" i="12"/>
  <c r="O24" i="12"/>
  <c r="K24" i="12"/>
  <c r="O10" i="12"/>
  <c r="K10" i="12"/>
  <c r="I15" i="12"/>
  <c r="O47" i="12"/>
  <c r="K47" i="12"/>
  <c r="I52" i="12"/>
  <c r="J15" i="12"/>
  <c r="H34" i="12"/>
  <c r="H83" i="12" s="1"/>
  <c r="N15" i="12"/>
  <c r="O43" i="12"/>
  <c r="K43" i="12"/>
  <c r="O33" i="12"/>
  <c r="K33" i="12"/>
  <c r="O43" i="11"/>
  <c r="K43" i="11"/>
  <c r="J83" i="11"/>
  <c r="N83" i="11"/>
  <c r="O24" i="11"/>
  <c r="K24" i="11"/>
  <c r="I34" i="11"/>
  <c r="I83" i="11" s="1"/>
  <c r="M83" i="9"/>
  <c r="L83" i="9"/>
  <c r="N34" i="16" l="1"/>
  <c r="J34" i="16"/>
  <c r="H83" i="16"/>
  <c r="K71" i="16"/>
  <c r="O71" i="16"/>
  <c r="O15" i="16"/>
  <c r="K15" i="16"/>
  <c r="I34" i="16"/>
  <c r="O71" i="15"/>
  <c r="K71" i="15"/>
  <c r="I83" i="15"/>
  <c r="O34" i="15"/>
  <c r="K34" i="15"/>
  <c r="N83" i="14"/>
  <c r="J83" i="14"/>
  <c r="K34" i="14"/>
  <c r="O34" i="14"/>
  <c r="K52" i="14"/>
  <c r="O52" i="14"/>
  <c r="I71" i="14"/>
  <c r="J34" i="14"/>
  <c r="N34" i="14"/>
  <c r="K71" i="13"/>
  <c r="O71" i="13"/>
  <c r="I83" i="13"/>
  <c r="J83" i="13"/>
  <c r="N83" i="13"/>
  <c r="N83" i="12"/>
  <c r="J83" i="12"/>
  <c r="I34" i="12"/>
  <c r="O15" i="12"/>
  <c r="K15" i="12"/>
  <c r="K52" i="12"/>
  <c r="O52" i="12"/>
  <c r="I71" i="12"/>
  <c r="J34" i="12"/>
  <c r="N34" i="12"/>
  <c r="O83" i="11"/>
  <c r="K83" i="11"/>
  <c r="O34" i="11"/>
  <c r="K34" i="11"/>
  <c r="Q81" i="9"/>
  <c r="P81" i="9"/>
  <c r="I81" i="9"/>
  <c r="K81" i="9" s="1"/>
  <c r="H81" i="9"/>
  <c r="J81" i="9" s="1"/>
  <c r="G81" i="9"/>
  <c r="F81" i="9"/>
  <c r="O80" i="9"/>
  <c r="N80" i="9"/>
  <c r="I79" i="9"/>
  <c r="K79" i="9" s="1"/>
  <c r="H79" i="9"/>
  <c r="J79" i="9" s="1"/>
  <c r="G79" i="9"/>
  <c r="F79" i="9"/>
  <c r="O78" i="9"/>
  <c r="N78" i="9"/>
  <c r="Q77" i="9"/>
  <c r="O77" i="9" s="1"/>
  <c r="P77" i="9"/>
  <c r="N77" i="9" s="1"/>
  <c r="Q76" i="9"/>
  <c r="O76" i="9" s="1"/>
  <c r="P76" i="9"/>
  <c r="P75" i="9"/>
  <c r="I75" i="9"/>
  <c r="K75" i="9" s="1"/>
  <c r="H75" i="9"/>
  <c r="J75" i="9" s="1"/>
  <c r="G75" i="9"/>
  <c r="F75" i="9"/>
  <c r="O74" i="9"/>
  <c r="N74" i="9"/>
  <c r="O73" i="9"/>
  <c r="N73" i="9"/>
  <c r="Q72" i="9"/>
  <c r="Q75" i="9" s="1"/>
  <c r="O75" i="9" s="1"/>
  <c r="N72" i="9"/>
  <c r="Q69" i="9"/>
  <c r="P69" i="9"/>
  <c r="H69" i="9"/>
  <c r="J69" i="9" s="1"/>
  <c r="F69" i="9"/>
  <c r="N68" i="9"/>
  <c r="I68" i="9"/>
  <c r="G68" i="9"/>
  <c r="N67" i="9"/>
  <c r="I67" i="9"/>
  <c r="N66" i="9"/>
  <c r="I66" i="9"/>
  <c r="K66" i="9" s="1"/>
  <c r="G66" i="9"/>
  <c r="Q65" i="9"/>
  <c r="P65" i="9"/>
  <c r="H65" i="9"/>
  <c r="J65" i="9" s="1"/>
  <c r="F65" i="9"/>
  <c r="N64" i="9"/>
  <c r="I64" i="9"/>
  <c r="G64" i="9"/>
  <c r="N63" i="9"/>
  <c r="I63" i="9"/>
  <c r="N62" i="9"/>
  <c r="I62" i="9"/>
  <c r="K62" i="9" s="1"/>
  <c r="G62" i="9"/>
  <c r="Q60" i="9"/>
  <c r="P60" i="9"/>
  <c r="H60" i="9"/>
  <c r="J60" i="9" s="1"/>
  <c r="F60" i="9"/>
  <c r="N59" i="9"/>
  <c r="I59" i="9"/>
  <c r="G59" i="9"/>
  <c r="N58" i="9"/>
  <c r="I58" i="9"/>
  <c r="N57" i="9"/>
  <c r="I57" i="9"/>
  <c r="K57" i="9" s="1"/>
  <c r="G57" i="9"/>
  <c r="Q56" i="9"/>
  <c r="P56" i="9"/>
  <c r="H56" i="9"/>
  <c r="J56" i="9" s="1"/>
  <c r="F56" i="9"/>
  <c r="N55" i="9"/>
  <c r="I55" i="9"/>
  <c r="G55" i="9"/>
  <c r="N54" i="9"/>
  <c r="I54" i="9"/>
  <c r="K54" i="9" s="1"/>
  <c r="N53" i="9"/>
  <c r="I53" i="9"/>
  <c r="G53" i="9"/>
  <c r="Q51" i="9"/>
  <c r="P51" i="9"/>
  <c r="H51" i="9"/>
  <c r="J51" i="9" s="1"/>
  <c r="F51" i="9"/>
  <c r="N50" i="9"/>
  <c r="I50" i="9"/>
  <c r="G50" i="9"/>
  <c r="N49" i="9"/>
  <c r="I49" i="9"/>
  <c r="N48" i="9"/>
  <c r="I48" i="9"/>
  <c r="K48" i="9" s="1"/>
  <c r="G48" i="9"/>
  <c r="G51" i="9" s="1"/>
  <c r="Q47" i="9"/>
  <c r="P47" i="9"/>
  <c r="F47" i="9"/>
  <c r="N46" i="9"/>
  <c r="I46" i="9"/>
  <c r="G46" i="9"/>
  <c r="N45" i="9"/>
  <c r="I45" i="9"/>
  <c r="H44" i="9"/>
  <c r="G44" i="9"/>
  <c r="Q42" i="9"/>
  <c r="P42" i="9"/>
  <c r="N42" i="9" s="1"/>
  <c r="O41" i="9"/>
  <c r="N41" i="9"/>
  <c r="O40" i="9"/>
  <c r="N40" i="9"/>
  <c r="O39" i="9"/>
  <c r="N39" i="9"/>
  <c r="O38" i="9"/>
  <c r="N38" i="9"/>
  <c r="O37" i="9"/>
  <c r="N37" i="9"/>
  <c r="Q36" i="9"/>
  <c r="P36" i="9"/>
  <c r="H36" i="9"/>
  <c r="H43" i="9" s="1"/>
  <c r="J43" i="9" s="1"/>
  <c r="F36" i="9"/>
  <c r="F43" i="9" s="1"/>
  <c r="N35" i="9"/>
  <c r="I35" i="9"/>
  <c r="G35" i="9"/>
  <c r="G36" i="9" s="1"/>
  <c r="G43" i="9" s="1"/>
  <c r="Q32" i="9"/>
  <c r="P32" i="9"/>
  <c r="H32" i="9"/>
  <c r="F32" i="9"/>
  <c r="N31" i="9"/>
  <c r="I31" i="9"/>
  <c r="O31" i="9" s="1"/>
  <c r="G31" i="9"/>
  <c r="N30" i="9"/>
  <c r="I30" i="9"/>
  <c r="O30" i="9" s="1"/>
  <c r="G30" i="9"/>
  <c r="N29" i="9"/>
  <c r="I29" i="9"/>
  <c r="G29" i="9"/>
  <c r="Q28" i="9"/>
  <c r="P28" i="9"/>
  <c r="H28" i="9"/>
  <c r="F28" i="9"/>
  <c r="N27" i="9"/>
  <c r="I27" i="9"/>
  <c r="O27" i="9" s="1"/>
  <c r="G27" i="9"/>
  <c r="N26" i="9"/>
  <c r="I26" i="9"/>
  <c r="O26" i="9" s="1"/>
  <c r="G26" i="9"/>
  <c r="N25" i="9"/>
  <c r="I25" i="9"/>
  <c r="G25" i="9"/>
  <c r="H23" i="9"/>
  <c r="F23" i="9"/>
  <c r="N22" i="9"/>
  <c r="I22" i="9"/>
  <c r="O22" i="9" s="1"/>
  <c r="G22" i="9"/>
  <c r="Q21" i="9"/>
  <c r="P21" i="9"/>
  <c r="I21" i="9"/>
  <c r="G21" i="9"/>
  <c r="Q20" i="9"/>
  <c r="Q23" i="9" s="1"/>
  <c r="P20" i="9"/>
  <c r="N20" i="9" s="1"/>
  <c r="I20" i="9"/>
  <c r="G20" i="9"/>
  <c r="Q19" i="9"/>
  <c r="P19" i="9"/>
  <c r="H19" i="9"/>
  <c r="F19" i="9"/>
  <c r="N18" i="9"/>
  <c r="I18" i="9"/>
  <c r="O18" i="9" s="1"/>
  <c r="G18" i="9"/>
  <c r="N17" i="9"/>
  <c r="I17" i="9"/>
  <c r="O17" i="9" s="1"/>
  <c r="G17" i="9"/>
  <c r="N16" i="9"/>
  <c r="I16" i="9"/>
  <c r="G16" i="9"/>
  <c r="P14" i="9"/>
  <c r="H14" i="9"/>
  <c r="F14" i="9"/>
  <c r="N13" i="9"/>
  <c r="I13" i="9"/>
  <c r="O13" i="9" s="1"/>
  <c r="G13" i="9"/>
  <c r="Q12" i="9"/>
  <c r="N12" i="9"/>
  <c r="I12" i="9"/>
  <c r="G12" i="9"/>
  <c r="Q11" i="9"/>
  <c r="N11" i="9"/>
  <c r="I11" i="9"/>
  <c r="G11" i="9"/>
  <c r="F10" i="9"/>
  <c r="N9" i="9"/>
  <c r="I9" i="9"/>
  <c r="O9" i="9" s="1"/>
  <c r="G9" i="9"/>
  <c r="N8" i="9"/>
  <c r="I8" i="9"/>
  <c r="O8" i="9" s="1"/>
  <c r="Q7" i="9"/>
  <c r="Q10" i="9" s="1"/>
  <c r="P7" i="9"/>
  <c r="P10" i="9" s="1"/>
  <c r="H7" i="9"/>
  <c r="G7" i="9"/>
  <c r="M81" i="8"/>
  <c r="L81" i="8"/>
  <c r="I81" i="8"/>
  <c r="I82" i="8" s="1"/>
  <c r="H81" i="8"/>
  <c r="H82" i="8" s="1"/>
  <c r="G81" i="8"/>
  <c r="G82" i="8" s="1"/>
  <c r="F81" i="8"/>
  <c r="F82" i="8" s="1"/>
  <c r="K80" i="8"/>
  <c r="J80" i="8"/>
  <c r="I79" i="8"/>
  <c r="H79" i="8"/>
  <c r="G79" i="8"/>
  <c r="F79" i="8"/>
  <c r="K78" i="8"/>
  <c r="J78" i="8"/>
  <c r="M77" i="8"/>
  <c r="K77" i="8" s="1"/>
  <c r="L77" i="8"/>
  <c r="J77" i="8"/>
  <c r="M76" i="8"/>
  <c r="M79" i="8" s="1"/>
  <c r="K79" i="8" s="1"/>
  <c r="L76" i="8"/>
  <c r="L79" i="8" s="1"/>
  <c r="J79" i="8" s="1"/>
  <c r="J76" i="8"/>
  <c r="L75" i="8"/>
  <c r="J75" i="8"/>
  <c r="I75" i="8"/>
  <c r="H75" i="8"/>
  <c r="G75" i="8"/>
  <c r="F75" i="8"/>
  <c r="K74" i="8"/>
  <c r="J74" i="8"/>
  <c r="K73" i="8"/>
  <c r="J73" i="8"/>
  <c r="M72" i="8"/>
  <c r="M75" i="8" s="1"/>
  <c r="J72" i="8"/>
  <c r="M69" i="8"/>
  <c r="M70" i="8" s="1"/>
  <c r="L69" i="8"/>
  <c r="L70" i="8" s="1"/>
  <c r="J69" i="8"/>
  <c r="H69" i="8"/>
  <c r="H70" i="8" s="1"/>
  <c r="F69" i="8"/>
  <c r="J68" i="8"/>
  <c r="I68" i="8"/>
  <c r="K68" i="8" s="1"/>
  <c r="G68" i="8"/>
  <c r="J67" i="8"/>
  <c r="I67" i="8"/>
  <c r="I69" i="8" s="1"/>
  <c r="K66" i="8"/>
  <c r="J66" i="8"/>
  <c r="I66" i="8"/>
  <c r="G66" i="8"/>
  <c r="G69" i="8" s="1"/>
  <c r="M65" i="8"/>
  <c r="L65" i="8"/>
  <c r="J65" i="8"/>
  <c r="I65" i="8"/>
  <c r="K65" i="8" s="1"/>
  <c r="H65" i="8"/>
  <c r="F65" i="8"/>
  <c r="F70" i="8" s="1"/>
  <c r="F71" i="8" s="1"/>
  <c r="K64" i="8"/>
  <c r="J64" i="8"/>
  <c r="I64" i="8"/>
  <c r="G64" i="8"/>
  <c r="K63" i="8"/>
  <c r="J63" i="8"/>
  <c r="I63" i="8"/>
  <c r="K62" i="8"/>
  <c r="J62" i="8"/>
  <c r="I62" i="8"/>
  <c r="G62" i="8"/>
  <c r="G65" i="8" s="1"/>
  <c r="G70" i="8" s="1"/>
  <c r="M60" i="8"/>
  <c r="M61" i="8" s="1"/>
  <c r="L60" i="8"/>
  <c r="I60" i="8"/>
  <c r="I61" i="8" s="1"/>
  <c r="H60" i="8"/>
  <c r="J60" i="8" s="1"/>
  <c r="F60" i="8"/>
  <c r="K59" i="8"/>
  <c r="J59" i="8"/>
  <c r="I59" i="8"/>
  <c r="G59" i="8"/>
  <c r="K58" i="8"/>
  <c r="J58" i="8"/>
  <c r="I58" i="8"/>
  <c r="J57" i="8"/>
  <c r="I57" i="8"/>
  <c r="K57" i="8" s="1"/>
  <c r="G57" i="8"/>
  <c r="G60" i="8" s="1"/>
  <c r="M56" i="8"/>
  <c r="L56" i="8"/>
  <c r="L61" i="8" s="1"/>
  <c r="H56" i="8"/>
  <c r="J56" i="8" s="1"/>
  <c r="F56" i="8"/>
  <c r="F61" i="8" s="1"/>
  <c r="J55" i="8"/>
  <c r="I55" i="8"/>
  <c r="K55" i="8" s="1"/>
  <c r="G55" i="8"/>
  <c r="J54" i="8"/>
  <c r="I54" i="8"/>
  <c r="K54" i="8" s="1"/>
  <c r="J53" i="8"/>
  <c r="I53" i="8"/>
  <c r="I56" i="8" s="1"/>
  <c r="K56" i="8" s="1"/>
  <c r="G53" i="8"/>
  <c r="G56" i="8" s="1"/>
  <c r="G61" i="8" s="1"/>
  <c r="M51" i="8"/>
  <c r="M52" i="8" s="1"/>
  <c r="L51" i="8"/>
  <c r="L52" i="8" s="1"/>
  <c r="J51" i="8"/>
  <c r="H51" i="8"/>
  <c r="H52" i="8" s="1"/>
  <c r="F51" i="8"/>
  <c r="J50" i="8"/>
  <c r="I50" i="8"/>
  <c r="K50" i="8" s="1"/>
  <c r="G50" i="8"/>
  <c r="J49" i="8"/>
  <c r="I49" i="8"/>
  <c r="I51" i="8" s="1"/>
  <c r="K48" i="8"/>
  <c r="J48" i="8"/>
  <c r="I48" i="8"/>
  <c r="G48" i="8"/>
  <c r="G51" i="8" s="1"/>
  <c r="M47" i="8"/>
  <c r="L47" i="8"/>
  <c r="J47" i="8"/>
  <c r="H47" i="8"/>
  <c r="F47" i="8"/>
  <c r="F52" i="8" s="1"/>
  <c r="K46" i="8"/>
  <c r="J46" i="8"/>
  <c r="I46" i="8"/>
  <c r="G46" i="8"/>
  <c r="K45" i="8"/>
  <c r="J45" i="8"/>
  <c r="I45" i="8"/>
  <c r="K44" i="8"/>
  <c r="J44" i="8"/>
  <c r="I44" i="8"/>
  <c r="I47" i="8" s="1"/>
  <c r="K47" i="8" s="1"/>
  <c r="H44" i="8"/>
  <c r="G44" i="8"/>
  <c r="G47" i="8" s="1"/>
  <c r="M42" i="8"/>
  <c r="K42" i="8" s="1"/>
  <c r="L42" i="8"/>
  <c r="L43" i="8" s="1"/>
  <c r="J42" i="8"/>
  <c r="K41" i="8"/>
  <c r="J41" i="8"/>
  <c r="K40" i="8"/>
  <c r="J40" i="8"/>
  <c r="K39" i="8"/>
  <c r="J39" i="8"/>
  <c r="K38" i="8"/>
  <c r="J38" i="8"/>
  <c r="K37" i="8"/>
  <c r="J37" i="8"/>
  <c r="M36" i="8"/>
  <c r="L36" i="8"/>
  <c r="H36" i="8"/>
  <c r="H43" i="8" s="1"/>
  <c r="F36" i="8"/>
  <c r="F43" i="8" s="1"/>
  <c r="J35" i="8"/>
  <c r="I35" i="8"/>
  <c r="I36" i="8" s="1"/>
  <c r="G35" i="8"/>
  <c r="G36" i="8" s="1"/>
  <c r="G43" i="8" s="1"/>
  <c r="M32" i="8"/>
  <c r="L32" i="8"/>
  <c r="H32" i="8"/>
  <c r="H33" i="8" s="1"/>
  <c r="F32" i="8"/>
  <c r="J31" i="8"/>
  <c r="I31" i="8"/>
  <c r="K31" i="8" s="1"/>
  <c r="G31" i="8"/>
  <c r="J30" i="8"/>
  <c r="I30" i="8"/>
  <c r="K30" i="8" s="1"/>
  <c r="G30" i="8"/>
  <c r="J29" i="8"/>
  <c r="I29" i="8"/>
  <c r="I32" i="8" s="1"/>
  <c r="G29" i="8"/>
  <c r="M28" i="8"/>
  <c r="M33" i="8" s="1"/>
  <c r="L28" i="8"/>
  <c r="L33" i="8" s="1"/>
  <c r="H28" i="8"/>
  <c r="J28" i="8" s="1"/>
  <c r="F28" i="8"/>
  <c r="J27" i="8"/>
  <c r="I27" i="8"/>
  <c r="K27" i="8" s="1"/>
  <c r="G27" i="8"/>
  <c r="J26" i="8"/>
  <c r="I26" i="8"/>
  <c r="K26" i="8" s="1"/>
  <c r="G26" i="8"/>
  <c r="J25" i="8"/>
  <c r="I25" i="8"/>
  <c r="I28" i="8" s="1"/>
  <c r="K28" i="8" s="1"/>
  <c r="G25" i="8"/>
  <c r="G28" i="8" s="1"/>
  <c r="H23" i="8"/>
  <c r="H24" i="8" s="1"/>
  <c r="F23" i="8"/>
  <c r="J22" i="8"/>
  <c r="I22" i="8"/>
  <c r="K22" i="8" s="1"/>
  <c r="G22" i="8"/>
  <c r="M21" i="8"/>
  <c r="L21" i="8"/>
  <c r="L23" i="8" s="1"/>
  <c r="K21" i="8"/>
  <c r="I21" i="8"/>
  <c r="G21" i="8"/>
  <c r="M20" i="8"/>
  <c r="M23" i="8" s="1"/>
  <c r="L20" i="8"/>
  <c r="J20" i="8"/>
  <c r="I20" i="8"/>
  <c r="I23" i="8" s="1"/>
  <c r="G20" i="8"/>
  <c r="G23" i="8" s="1"/>
  <c r="M19" i="8"/>
  <c r="M24" i="8" s="1"/>
  <c r="L19" i="8"/>
  <c r="H19" i="8"/>
  <c r="J19" i="8" s="1"/>
  <c r="F19" i="8"/>
  <c r="F24" i="8" s="1"/>
  <c r="J18" i="8"/>
  <c r="I18" i="8"/>
  <c r="K18" i="8" s="1"/>
  <c r="G18" i="8"/>
  <c r="J17" i="8"/>
  <c r="I17" i="8"/>
  <c r="K17" i="8" s="1"/>
  <c r="G17" i="8"/>
  <c r="J16" i="8"/>
  <c r="I16" i="8"/>
  <c r="I19" i="8" s="1"/>
  <c r="K19" i="8" s="1"/>
  <c r="G16" i="8"/>
  <c r="G19" i="8" s="1"/>
  <c r="G24" i="8" s="1"/>
  <c r="L14" i="8"/>
  <c r="L15" i="8" s="1"/>
  <c r="H14" i="8"/>
  <c r="H15" i="8" s="1"/>
  <c r="F14" i="8"/>
  <c r="J13" i="8"/>
  <c r="I13" i="8"/>
  <c r="K13" i="8" s="1"/>
  <c r="G13" i="8"/>
  <c r="M12" i="8"/>
  <c r="K12" i="8"/>
  <c r="J12" i="8"/>
  <c r="I12" i="8"/>
  <c r="G12" i="8"/>
  <c r="M11" i="8"/>
  <c r="M14" i="8" s="1"/>
  <c r="J11" i="8"/>
  <c r="I11" i="8"/>
  <c r="I14" i="8" s="1"/>
  <c r="G11" i="8"/>
  <c r="L10" i="8"/>
  <c r="J10" i="8"/>
  <c r="H10" i="8"/>
  <c r="F10" i="8"/>
  <c r="F15" i="8" s="1"/>
  <c r="K9" i="8"/>
  <c r="J9" i="8"/>
  <c r="I9" i="8"/>
  <c r="G9" i="8"/>
  <c r="K8" i="8"/>
  <c r="J8" i="8"/>
  <c r="I8" i="8"/>
  <c r="M7" i="8"/>
  <c r="M10" i="8" s="1"/>
  <c r="L7" i="8"/>
  <c r="I7" i="8"/>
  <c r="I10" i="8" s="1"/>
  <c r="H7" i="8"/>
  <c r="J7" i="8" s="1"/>
  <c r="G7" i="8"/>
  <c r="G10" i="8" s="1"/>
  <c r="M81" i="7"/>
  <c r="L81" i="7"/>
  <c r="J81" i="7"/>
  <c r="I81" i="7"/>
  <c r="I82" i="7" s="1"/>
  <c r="H81" i="7"/>
  <c r="G81" i="7"/>
  <c r="F81" i="7"/>
  <c r="F82" i="7" s="1"/>
  <c r="K80" i="7"/>
  <c r="J80" i="7"/>
  <c r="L79" i="7"/>
  <c r="L82" i="7" s="1"/>
  <c r="I79" i="7"/>
  <c r="H79" i="7"/>
  <c r="H82" i="7" s="1"/>
  <c r="G79" i="7"/>
  <c r="G82" i="7" s="1"/>
  <c r="F79" i="7"/>
  <c r="K78" i="7"/>
  <c r="J78" i="7"/>
  <c r="M77" i="7"/>
  <c r="K77" i="7" s="1"/>
  <c r="L77" i="7"/>
  <c r="J77" i="7"/>
  <c r="M76" i="7"/>
  <c r="M79" i="7" s="1"/>
  <c r="K79" i="7" s="1"/>
  <c r="L76" i="7"/>
  <c r="J76" i="7"/>
  <c r="L75" i="7"/>
  <c r="J75" i="7"/>
  <c r="I75" i="7"/>
  <c r="H75" i="7"/>
  <c r="G75" i="7"/>
  <c r="F75" i="7"/>
  <c r="K74" i="7"/>
  <c r="J74" i="7"/>
  <c r="K73" i="7"/>
  <c r="J73" i="7"/>
  <c r="M72" i="7"/>
  <c r="M75" i="7" s="1"/>
  <c r="J72" i="7"/>
  <c r="F70" i="7"/>
  <c r="M69" i="7"/>
  <c r="M70" i="7" s="1"/>
  <c r="M71" i="7" s="1"/>
  <c r="L69" i="7"/>
  <c r="L70" i="7" s="1"/>
  <c r="H69" i="7"/>
  <c r="H70" i="7" s="1"/>
  <c r="G69" i="7"/>
  <c r="F69" i="7"/>
  <c r="K68" i="7"/>
  <c r="J68" i="7"/>
  <c r="I68" i="7"/>
  <c r="G68" i="7"/>
  <c r="K67" i="7"/>
  <c r="J67" i="7"/>
  <c r="I67" i="7"/>
  <c r="J66" i="7"/>
  <c r="I66" i="7"/>
  <c r="K66" i="7" s="1"/>
  <c r="G66" i="7"/>
  <c r="M65" i="7"/>
  <c r="L65" i="7"/>
  <c r="J65" i="7"/>
  <c r="H65" i="7"/>
  <c r="F65" i="7"/>
  <c r="J64" i="7"/>
  <c r="I64" i="7"/>
  <c r="K64" i="7" s="1"/>
  <c r="G64" i="7"/>
  <c r="J63" i="7"/>
  <c r="I63" i="7"/>
  <c r="K63" i="7" s="1"/>
  <c r="K62" i="7"/>
  <c r="J62" i="7"/>
  <c r="I62" i="7"/>
  <c r="I65" i="7" s="1"/>
  <c r="K65" i="7" s="1"/>
  <c r="G62" i="7"/>
  <c r="G65" i="7" s="1"/>
  <c r="G70" i="7" s="1"/>
  <c r="G71" i="7" s="1"/>
  <c r="M61" i="7"/>
  <c r="L61" i="7"/>
  <c r="J61" i="7"/>
  <c r="H61" i="7"/>
  <c r="M60" i="7"/>
  <c r="L60" i="7"/>
  <c r="J60" i="7"/>
  <c r="I60" i="7"/>
  <c r="K60" i="7" s="1"/>
  <c r="H60" i="7"/>
  <c r="F60" i="7"/>
  <c r="K59" i="7"/>
  <c r="J59" i="7"/>
  <c r="I59" i="7"/>
  <c r="G59" i="7"/>
  <c r="K58" i="7"/>
  <c r="J58" i="7"/>
  <c r="I58" i="7"/>
  <c r="K57" i="7"/>
  <c r="J57" i="7"/>
  <c r="I57" i="7"/>
  <c r="G57" i="7"/>
  <c r="G60" i="7" s="1"/>
  <c r="M56" i="7"/>
  <c r="L56" i="7"/>
  <c r="J56" i="7"/>
  <c r="I56" i="7"/>
  <c r="K56" i="7" s="1"/>
  <c r="H56" i="7"/>
  <c r="F56" i="7"/>
  <c r="F61" i="7" s="1"/>
  <c r="K55" i="7"/>
  <c r="J55" i="7"/>
  <c r="I55" i="7"/>
  <c r="G55" i="7"/>
  <c r="G56" i="7" s="1"/>
  <c r="G61" i="7" s="1"/>
  <c r="K54" i="7"/>
  <c r="J54" i="7"/>
  <c r="I54" i="7"/>
  <c r="K53" i="7"/>
  <c r="J53" i="7"/>
  <c r="I53" i="7"/>
  <c r="G53" i="7"/>
  <c r="G52" i="7"/>
  <c r="F52" i="7"/>
  <c r="M51" i="7"/>
  <c r="M52" i="7" s="1"/>
  <c r="L51" i="7"/>
  <c r="L52" i="7" s="1"/>
  <c r="H51" i="7"/>
  <c r="G51" i="7"/>
  <c r="F51" i="7"/>
  <c r="K50" i="7"/>
  <c r="J50" i="7"/>
  <c r="I50" i="7"/>
  <c r="G50" i="7"/>
  <c r="K49" i="7"/>
  <c r="J49" i="7"/>
  <c r="I49" i="7"/>
  <c r="J48" i="7"/>
  <c r="I48" i="7"/>
  <c r="K48" i="7" s="1"/>
  <c r="G48" i="7"/>
  <c r="M47" i="7"/>
  <c r="L47" i="7"/>
  <c r="G47" i="7"/>
  <c r="F47" i="7"/>
  <c r="J46" i="7"/>
  <c r="I46" i="7"/>
  <c r="K46" i="7" s="1"/>
  <c r="G46" i="7"/>
  <c r="J45" i="7"/>
  <c r="I45" i="7"/>
  <c r="K45" i="7" s="1"/>
  <c r="K44" i="7"/>
  <c r="I44" i="7"/>
  <c r="I47" i="7" s="1"/>
  <c r="K47" i="7" s="1"/>
  <c r="H44" i="7"/>
  <c r="J44" i="7" s="1"/>
  <c r="G44" i="7"/>
  <c r="H43" i="7"/>
  <c r="M42" i="7"/>
  <c r="L42" i="7"/>
  <c r="L43" i="7" s="1"/>
  <c r="J43" i="7" s="1"/>
  <c r="K42" i="7"/>
  <c r="J42" i="7"/>
  <c r="K41" i="7"/>
  <c r="J41" i="7"/>
  <c r="K40" i="7"/>
  <c r="J40" i="7"/>
  <c r="K39" i="7"/>
  <c r="J39" i="7"/>
  <c r="K38" i="7"/>
  <c r="J38" i="7"/>
  <c r="K37" i="7"/>
  <c r="J37" i="7"/>
  <c r="M36" i="7"/>
  <c r="M43" i="7" s="1"/>
  <c r="L36" i="7"/>
  <c r="J36" i="7"/>
  <c r="I36" i="7"/>
  <c r="I43" i="7" s="1"/>
  <c r="K43" i="7" s="1"/>
  <c r="H36" i="7"/>
  <c r="F36" i="7"/>
  <c r="F43" i="7" s="1"/>
  <c r="K35" i="7"/>
  <c r="J35" i="7"/>
  <c r="I35" i="7"/>
  <c r="G35" i="7"/>
  <c r="G36" i="7" s="1"/>
  <c r="G43" i="7" s="1"/>
  <c r="L33" i="7"/>
  <c r="L34" i="7" s="1"/>
  <c r="M32" i="7"/>
  <c r="L32" i="7"/>
  <c r="H32" i="7"/>
  <c r="J32" i="7" s="1"/>
  <c r="F32" i="7"/>
  <c r="J31" i="7"/>
  <c r="I31" i="7"/>
  <c r="K31" i="7" s="1"/>
  <c r="G31" i="7"/>
  <c r="K30" i="7"/>
  <c r="J30" i="7"/>
  <c r="I30" i="7"/>
  <c r="G30" i="7"/>
  <c r="J29" i="7"/>
  <c r="I29" i="7"/>
  <c r="K29" i="7" s="1"/>
  <c r="G29" i="7"/>
  <c r="G32" i="7" s="1"/>
  <c r="M28" i="7"/>
  <c r="M33" i="7" s="1"/>
  <c r="L28" i="7"/>
  <c r="H28" i="7"/>
  <c r="J28" i="7" s="1"/>
  <c r="F28" i="7"/>
  <c r="F33" i="7" s="1"/>
  <c r="J27" i="7"/>
  <c r="I27" i="7"/>
  <c r="K27" i="7" s="1"/>
  <c r="G27" i="7"/>
  <c r="K26" i="7"/>
  <c r="J26" i="7"/>
  <c r="I26" i="7"/>
  <c r="G26" i="7"/>
  <c r="K25" i="7"/>
  <c r="J25" i="7"/>
  <c r="I25" i="7"/>
  <c r="G25" i="7"/>
  <c r="L24" i="7"/>
  <c r="H24" i="7"/>
  <c r="J24" i="7" s="1"/>
  <c r="L23" i="7"/>
  <c r="J23" i="7" s="1"/>
  <c r="H23" i="7"/>
  <c r="F23" i="7"/>
  <c r="K22" i="7"/>
  <c r="J22" i="7"/>
  <c r="I22" i="7"/>
  <c r="G22" i="7"/>
  <c r="M21" i="7"/>
  <c r="M23" i="7" s="1"/>
  <c r="L21" i="7"/>
  <c r="J21" i="7"/>
  <c r="I21" i="7"/>
  <c r="I23" i="7" s="1"/>
  <c r="G21" i="7"/>
  <c r="M20" i="7"/>
  <c r="L20" i="7"/>
  <c r="K20" i="7"/>
  <c r="J20" i="7"/>
  <c r="I20" i="7"/>
  <c r="G20" i="7"/>
  <c r="M19" i="7"/>
  <c r="L19" i="7"/>
  <c r="J19" i="7"/>
  <c r="I19" i="7"/>
  <c r="K19" i="7" s="1"/>
  <c r="H19" i="7"/>
  <c r="F19" i="7"/>
  <c r="K18" i="7"/>
  <c r="J18" i="7"/>
  <c r="I18" i="7"/>
  <c r="G18" i="7"/>
  <c r="K17" i="7"/>
  <c r="J17" i="7"/>
  <c r="I17" i="7"/>
  <c r="G17" i="7"/>
  <c r="K16" i="7"/>
  <c r="J16" i="7"/>
  <c r="I16" i="7"/>
  <c r="G16" i="7"/>
  <c r="G19" i="7" s="1"/>
  <c r="L15" i="7"/>
  <c r="H15" i="7"/>
  <c r="J15" i="7" s="1"/>
  <c r="L14" i="7"/>
  <c r="J14" i="7"/>
  <c r="H14" i="7"/>
  <c r="F14" i="7"/>
  <c r="F15" i="7" s="1"/>
  <c r="K13" i="7"/>
  <c r="J13" i="7"/>
  <c r="I13" i="7"/>
  <c r="G13" i="7"/>
  <c r="M12" i="7"/>
  <c r="M14" i="7" s="1"/>
  <c r="M15" i="7" s="1"/>
  <c r="K12" i="7"/>
  <c r="J12" i="7"/>
  <c r="I12" i="7"/>
  <c r="G12" i="7"/>
  <c r="M11" i="7"/>
  <c r="J11" i="7"/>
  <c r="I11" i="7"/>
  <c r="I14" i="7" s="1"/>
  <c r="G11" i="7"/>
  <c r="M10" i="7"/>
  <c r="L10" i="7"/>
  <c r="J10" i="7"/>
  <c r="H10" i="7"/>
  <c r="G10" i="7"/>
  <c r="F10" i="7"/>
  <c r="J9" i="7"/>
  <c r="I9" i="7"/>
  <c r="K9" i="7" s="1"/>
  <c r="G9" i="7"/>
  <c r="J8" i="7"/>
  <c r="I8" i="7"/>
  <c r="K8" i="7" s="1"/>
  <c r="M7" i="7"/>
  <c r="L7" i="7"/>
  <c r="J7" i="7"/>
  <c r="I7" i="7"/>
  <c r="I10" i="7" s="1"/>
  <c r="K10" i="7" s="1"/>
  <c r="H7" i="7"/>
  <c r="G7" i="7"/>
  <c r="G26" i="6"/>
  <c r="H7" i="6"/>
  <c r="I82" i="6"/>
  <c r="H82" i="6"/>
  <c r="G82" i="6"/>
  <c r="F82" i="6"/>
  <c r="M81" i="6"/>
  <c r="L81" i="6"/>
  <c r="K81" i="6"/>
  <c r="J81" i="6"/>
  <c r="I81" i="6"/>
  <c r="H81" i="6"/>
  <c r="G81" i="6"/>
  <c r="F81" i="6"/>
  <c r="K80" i="6"/>
  <c r="J80" i="6"/>
  <c r="M79" i="6"/>
  <c r="M82" i="6" s="1"/>
  <c r="L79" i="6"/>
  <c r="L82" i="6" s="1"/>
  <c r="I79" i="6"/>
  <c r="H79" i="6"/>
  <c r="G79" i="6"/>
  <c r="F79" i="6"/>
  <c r="K78" i="6"/>
  <c r="J78" i="6"/>
  <c r="M77" i="6"/>
  <c r="L77" i="6"/>
  <c r="K77" i="6"/>
  <c r="J77" i="6"/>
  <c r="M76" i="6"/>
  <c r="L76" i="6"/>
  <c r="K76" i="6"/>
  <c r="J76" i="6"/>
  <c r="M75" i="6"/>
  <c r="L75" i="6"/>
  <c r="K75" i="6"/>
  <c r="J75" i="6"/>
  <c r="I75" i="6"/>
  <c r="H75" i="6"/>
  <c r="G75" i="6"/>
  <c r="F75" i="6"/>
  <c r="K74" i="6"/>
  <c r="J74" i="6"/>
  <c r="K73" i="6"/>
  <c r="J73" i="6"/>
  <c r="M72" i="6"/>
  <c r="K72" i="6"/>
  <c r="J72" i="6"/>
  <c r="M70" i="6"/>
  <c r="M71" i="6" s="1"/>
  <c r="L70" i="6"/>
  <c r="L71" i="6" s="1"/>
  <c r="J70" i="6"/>
  <c r="I70" i="6"/>
  <c r="K70" i="6" s="1"/>
  <c r="H70" i="6"/>
  <c r="H71" i="6" s="1"/>
  <c r="F70" i="6"/>
  <c r="F71" i="6" s="1"/>
  <c r="M69" i="6"/>
  <c r="L69" i="6"/>
  <c r="K69" i="6"/>
  <c r="J69" i="6"/>
  <c r="I69" i="6"/>
  <c r="H69" i="6"/>
  <c r="G69" i="6"/>
  <c r="G70" i="6" s="1"/>
  <c r="F69" i="6"/>
  <c r="K68" i="6"/>
  <c r="J68" i="6"/>
  <c r="I68" i="6"/>
  <c r="G68" i="6"/>
  <c r="K67" i="6"/>
  <c r="J67" i="6"/>
  <c r="I67" i="6"/>
  <c r="K66" i="6"/>
  <c r="J66" i="6"/>
  <c r="I66" i="6"/>
  <c r="G66" i="6"/>
  <c r="M65" i="6"/>
  <c r="L65" i="6"/>
  <c r="J65" i="6"/>
  <c r="I65" i="6"/>
  <c r="K65" i="6" s="1"/>
  <c r="H65" i="6"/>
  <c r="G65" i="6"/>
  <c r="F65" i="6"/>
  <c r="K64" i="6"/>
  <c r="J64" i="6"/>
  <c r="I64" i="6"/>
  <c r="G64" i="6"/>
  <c r="K63" i="6"/>
  <c r="J63" i="6"/>
  <c r="I63" i="6"/>
  <c r="K62" i="6"/>
  <c r="J62" i="6"/>
  <c r="I62" i="6"/>
  <c r="G62" i="6"/>
  <c r="M61" i="6"/>
  <c r="L61" i="6"/>
  <c r="H61" i="6"/>
  <c r="J61" i="6" s="1"/>
  <c r="F61" i="6"/>
  <c r="M60" i="6"/>
  <c r="L60" i="6"/>
  <c r="K60" i="6"/>
  <c r="J60" i="6"/>
  <c r="I60" i="6"/>
  <c r="I61" i="6" s="1"/>
  <c r="K61" i="6" s="1"/>
  <c r="H60" i="6"/>
  <c r="G60" i="6"/>
  <c r="G61" i="6" s="1"/>
  <c r="F60" i="6"/>
  <c r="K59" i="6"/>
  <c r="J59" i="6"/>
  <c r="I59" i="6"/>
  <c r="G59" i="6"/>
  <c r="K58" i="6"/>
  <c r="J58" i="6"/>
  <c r="I58" i="6"/>
  <c r="K57" i="6"/>
  <c r="J57" i="6"/>
  <c r="I57" i="6"/>
  <c r="G57" i="6"/>
  <c r="M56" i="6"/>
  <c r="L56" i="6"/>
  <c r="J56" i="6"/>
  <c r="I56" i="6"/>
  <c r="K56" i="6" s="1"/>
  <c r="H56" i="6"/>
  <c r="G56" i="6"/>
  <c r="F56" i="6"/>
  <c r="K55" i="6"/>
  <c r="J55" i="6"/>
  <c r="I55" i="6"/>
  <c r="G55" i="6"/>
  <c r="K54" i="6"/>
  <c r="J54" i="6"/>
  <c r="I54" i="6"/>
  <c r="K53" i="6"/>
  <c r="J53" i="6"/>
  <c r="I53" i="6"/>
  <c r="G53" i="6"/>
  <c r="M52" i="6"/>
  <c r="L52" i="6"/>
  <c r="I52" i="6"/>
  <c r="K52" i="6" s="1"/>
  <c r="H52" i="6"/>
  <c r="J52" i="6" s="1"/>
  <c r="F52" i="6"/>
  <c r="M51" i="6"/>
  <c r="L51" i="6"/>
  <c r="K51" i="6"/>
  <c r="J51" i="6"/>
  <c r="I51" i="6"/>
  <c r="H51" i="6"/>
  <c r="G51" i="6"/>
  <c r="G52" i="6" s="1"/>
  <c r="F51" i="6"/>
  <c r="K50" i="6"/>
  <c r="J50" i="6"/>
  <c r="I50" i="6"/>
  <c r="G50" i="6"/>
  <c r="K49" i="6"/>
  <c r="J49" i="6"/>
  <c r="I49" i="6"/>
  <c r="K48" i="6"/>
  <c r="J48" i="6"/>
  <c r="I48" i="6"/>
  <c r="G48" i="6"/>
  <c r="M47" i="6"/>
  <c r="L47" i="6"/>
  <c r="K47" i="6"/>
  <c r="J47" i="6"/>
  <c r="I47" i="6"/>
  <c r="H47" i="6"/>
  <c r="G47" i="6"/>
  <c r="F47" i="6"/>
  <c r="K46" i="6"/>
  <c r="J46" i="6"/>
  <c r="I46" i="6"/>
  <c r="G46" i="6"/>
  <c r="K45" i="6"/>
  <c r="J45" i="6"/>
  <c r="I45" i="6"/>
  <c r="K44" i="6"/>
  <c r="J44" i="6"/>
  <c r="I44" i="6"/>
  <c r="H44" i="6"/>
  <c r="G44" i="6"/>
  <c r="M43" i="6"/>
  <c r="L43" i="6"/>
  <c r="F43" i="6"/>
  <c r="M42" i="6"/>
  <c r="L42" i="6"/>
  <c r="K42" i="6"/>
  <c r="J42" i="6"/>
  <c r="K41" i="6"/>
  <c r="J41" i="6"/>
  <c r="K40" i="6"/>
  <c r="J40" i="6"/>
  <c r="K39" i="6"/>
  <c r="J39" i="6"/>
  <c r="K38" i="6"/>
  <c r="J38" i="6"/>
  <c r="K37" i="6"/>
  <c r="J37" i="6"/>
  <c r="M36" i="6"/>
  <c r="L36" i="6"/>
  <c r="J36" i="6"/>
  <c r="I36" i="6"/>
  <c r="I43" i="6" s="1"/>
  <c r="K43" i="6" s="1"/>
  <c r="H36" i="6"/>
  <c r="H43" i="6" s="1"/>
  <c r="G36" i="6"/>
  <c r="G43" i="6" s="1"/>
  <c r="F36" i="6"/>
  <c r="K35" i="6"/>
  <c r="J35" i="6"/>
  <c r="I35" i="6"/>
  <c r="G35" i="6"/>
  <c r="M33" i="6"/>
  <c r="L33" i="6"/>
  <c r="M32" i="6"/>
  <c r="L32" i="6"/>
  <c r="H32" i="6"/>
  <c r="J32" i="6" s="1"/>
  <c r="G32" i="6"/>
  <c r="F32" i="6"/>
  <c r="K31" i="6"/>
  <c r="J31" i="6"/>
  <c r="I31" i="6"/>
  <c r="G31" i="6"/>
  <c r="J30" i="6"/>
  <c r="I30" i="6"/>
  <c r="I32" i="6" s="1"/>
  <c r="G30" i="6"/>
  <c r="K29" i="6"/>
  <c r="J29" i="6"/>
  <c r="I29" i="6"/>
  <c r="G29" i="6"/>
  <c r="M28" i="6"/>
  <c r="L28" i="6"/>
  <c r="H28" i="6"/>
  <c r="F28" i="6"/>
  <c r="F33" i="6" s="1"/>
  <c r="K27" i="6"/>
  <c r="J27" i="6"/>
  <c r="I27" i="6"/>
  <c r="G27" i="6"/>
  <c r="J26" i="6"/>
  <c r="I26" i="6"/>
  <c r="K26" i="6" s="1"/>
  <c r="J25" i="6"/>
  <c r="I25" i="6"/>
  <c r="K25" i="6" s="1"/>
  <c r="G25" i="6"/>
  <c r="G28" i="6" s="1"/>
  <c r="M23" i="6"/>
  <c r="M24" i="6" s="1"/>
  <c r="L23" i="6"/>
  <c r="L24" i="6" s="1"/>
  <c r="H23" i="6"/>
  <c r="H24" i="6" s="1"/>
  <c r="G23" i="6"/>
  <c r="F23" i="6"/>
  <c r="K22" i="6"/>
  <c r="J22" i="6"/>
  <c r="I22" i="6"/>
  <c r="G22" i="6"/>
  <c r="M21" i="6"/>
  <c r="L21" i="6"/>
  <c r="K21" i="6"/>
  <c r="J21" i="6"/>
  <c r="I21" i="6"/>
  <c r="I23" i="6" s="1"/>
  <c r="K23" i="6" s="1"/>
  <c r="G21" i="6"/>
  <c r="M20" i="6"/>
  <c r="L20" i="6"/>
  <c r="K20" i="6"/>
  <c r="J20" i="6"/>
  <c r="I20" i="6"/>
  <c r="G20" i="6"/>
  <c r="M19" i="6"/>
  <c r="L19" i="6"/>
  <c r="K19" i="6"/>
  <c r="J19" i="6"/>
  <c r="I19" i="6"/>
  <c r="H19" i="6"/>
  <c r="F19" i="6"/>
  <c r="K18" i="6"/>
  <c r="J18" i="6"/>
  <c r="I18" i="6"/>
  <c r="G18" i="6"/>
  <c r="K17" i="6"/>
  <c r="J17" i="6"/>
  <c r="I17" i="6"/>
  <c r="G17" i="6"/>
  <c r="G19" i="6" s="1"/>
  <c r="G24" i="6" s="1"/>
  <c r="K16" i="6"/>
  <c r="J16" i="6"/>
  <c r="I16" i="6"/>
  <c r="G16" i="6"/>
  <c r="L15" i="6"/>
  <c r="M14" i="6"/>
  <c r="M15" i="6" s="1"/>
  <c r="L14" i="6"/>
  <c r="I14" i="6"/>
  <c r="H14" i="6"/>
  <c r="J14" i="6" s="1"/>
  <c r="F14" i="6"/>
  <c r="K13" i="6"/>
  <c r="J13" i="6"/>
  <c r="I13" i="6"/>
  <c r="G13" i="6"/>
  <c r="M12" i="6"/>
  <c r="K12" i="6"/>
  <c r="J12" i="6"/>
  <c r="I12" i="6"/>
  <c r="G12" i="6"/>
  <c r="M11" i="6"/>
  <c r="K11" i="6"/>
  <c r="J11" i="6"/>
  <c r="I11" i="6"/>
  <c r="G11" i="6"/>
  <c r="M10" i="6"/>
  <c r="L10" i="6"/>
  <c r="H10" i="6"/>
  <c r="J10" i="6" s="1"/>
  <c r="G10" i="6"/>
  <c r="F10" i="6"/>
  <c r="K9" i="6"/>
  <c r="J9" i="6"/>
  <c r="I9" i="6"/>
  <c r="G9" i="6"/>
  <c r="K8" i="6"/>
  <c r="J8" i="6"/>
  <c r="I8" i="6"/>
  <c r="M7" i="6"/>
  <c r="L7" i="6"/>
  <c r="J7" i="6"/>
  <c r="I7" i="6"/>
  <c r="K7" i="6" s="1"/>
  <c r="G7" i="6"/>
  <c r="I36" i="5"/>
  <c r="I43" i="5" s="1"/>
  <c r="H36" i="5"/>
  <c r="G36" i="5"/>
  <c r="F36" i="5"/>
  <c r="G12" i="5"/>
  <c r="G17" i="5"/>
  <c r="G30" i="5"/>
  <c r="G21" i="5"/>
  <c r="M81" i="5"/>
  <c r="L81" i="5"/>
  <c r="L82" i="5" s="1"/>
  <c r="I81" i="5"/>
  <c r="I82" i="5" s="1"/>
  <c r="H81" i="5"/>
  <c r="H82" i="5" s="1"/>
  <c r="J82" i="5" s="1"/>
  <c r="G81" i="5"/>
  <c r="G82" i="5" s="1"/>
  <c r="F81" i="5"/>
  <c r="F82" i="5" s="1"/>
  <c r="K80" i="5"/>
  <c r="J80" i="5"/>
  <c r="M79" i="5"/>
  <c r="L79" i="5"/>
  <c r="K79" i="5"/>
  <c r="J79" i="5"/>
  <c r="I79" i="5"/>
  <c r="H79" i="5"/>
  <c r="G79" i="5"/>
  <c r="F79" i="5"/>
  <c r="K78" i="5"/>
  <c r="J78" i="5"/>
  <c r="M77" i="5"/>
  <c r="L77" i="5"/>
  <c r="K77" i="5"/>
  <c r="J77" i="5"/>
  <c r="M76" i="5"/>
  <c r="L76" i="5"/>
  <c r="K76" i="5"/>
  <c r="J76" i="5"/>
  <c r="M75" i="5"/>
  <c r="M82" i="5" s="1"/>
  <c r="L75" i="5"/>
  <c r="I75" i="5"/>
  <c r="K75" i="5" s="1"/>
  <c r="H75" i="5"/>
  <c r="J75" i="5" s="1"/>
  <c r="G75" i="5"/>
  <c r="F75" i="5"/>
  <c r="K74" i="5"/>
  <c r="J74" i="5"/>
  <c r="K73" i="5"/>
  <c r="J73" i="5"/>
  <c r="M72" i="5"/>
  <c r="K72" i="5"/>
  <c r="J72" i="5"/>
  <c r="L70" i="5"/>
  <c r="H70" i="5"/>
  <c r="J70" i="5" s="1"/>
  <c r="M69" i="5"/>
  <c r="M70" i="5" s="1"/>
  <c r="L69" i="5"/>
  <c r="J69" i="5"/>
  <c r="H69" i="5"/>
  <c r="F69" i="5"/>
  <c r="F70" i="5" s="1"/>
  <c r="J68" i="5"/>
  <c r="I68" i="5"/>
  <c r="K68" i="5" s="1"/>
  <c r="G68" i="5"/>
  <c r="J67" i="5"/>
  <c r="I67" i="5"/>
  <c r="I69" i="5" s="1"/>
  <c r="K66" i="5"/>
  <c r="J66" i="5"/>
  <c r="I66" i="5"/>
  <c r="G66" i="5"/>
  <c r="G69" i="5" s="1"/>
  <c r="M65" i="5"/>
  <c r="L65" i="5"/>
  <c r="J65" i="5"/>
  <c r="I65" i="5"/>
  <c r="K65" i="5" s="1"/>
  <c r="H65" i="5"/>
  <c r="F65" i="5"/>
  <c r="K64" i="5"/>
  <c r="J64" i="5"/>
  <c r="I64" i="5"/>
  <c r="G64" i="5"/>
  <c r="K63" i="5"/>
  <c r="J63" i="5"/>
  <c r="I63" i="5"/>
  <c r="K62" i="5"/>
  <c r="J62" i="5"/>
  <c r="I62" i="5"/>
  <c r="G62" i="5"/>
  <c r="G65" i="5" s="1"/>
  <c r="M60" i="5"/>
  <c r="M61" i="5" s="1"/>
  <c r="L60" i="5"/>
  <c r="L61" i="5" s="1"/>
  <c r="H60" i="5"/>
  <c r="H61" i="5" s="1"/>
  <c r="J61" i="5" s="1"/>
  <c r="F60" i="5"/>
  <c r="J59" i="5"/>
  <c r="I59" i="5"/>
  <c r="K59" i="5" s="1"/>
  <c r="G59" i="5"/>
  <c r="J58" i="5"/>
  <c r="I58" i="5"/>
  <c r="K58" i="5" s="1"/>
  <c r="J57" i="5"/>
  <c r="I57" i="5"/>
  <c r="K57" i="5" s="1"/>
  <c r="G57" i="5"/>
  <c r="G60" i="5" s="1"/>
  <c r="G61" i="5" s="1"/>
  <c r="M56" i="5"/>
  <c r="L56" i="5"/>
  <c r="J56" i="5"/>
  <c r="I56" i="5"/>
  <c r="K56" i="5" s="1"/>
  <c r="H56" i="5"/>
  <c r="F56" i="5"/>
  <c r="F61" i="5" s="1"/>
  <c r="K55" i="5"/>
  <c r="J55" i="5"/>
  <c r="I55" i="5"/>
  <c r="G55" i="5"/>
  <c r="K54" i="5"/>
  <c r="J54" i="5"/>
  <c r="I54" i="5"/>
  <c r="K53" i="5"/>
  <c r="J53" i="5"/>
  <c r="I53" i="5"/>
  <c r="G53" i="5"/>
  <c r="G56" i="5" s="1"/>
  <c r="H52" i="5"/>
  <c r="M51" i="5"/>
  <c r="L51" i="5"/>
  <c r="H51" i="5"/>
  <c r="J51" i="5" s="1"/>
  <c r="F51" i="5"/>
  <c r="J50" i="5"/>
  <c r="I50" i="5"/>
  <c r="K50" i="5" s="1"/>
  <c r="G50" i="5"/>
  <c r="J49" i="5"/>
  <c r="I49" i="5"/>
  <c r="K49" i="5" s="1"/>
  <c r="J48" i="5"/>
  <c r="I48" i="5"/>
  <c r="K48" i="5" s="1"/>
  <c r="G48" i="5"/>
  <c r="G51" i="5" s="1"/>
  <c r="M47" i="5"/>
  <c r="M52" i="5" s="1"/>
  <c r="L47" i="5"/>
  <c r="I47" i="5"/>
  <c r="K47" i="5" s="1"/>
  <c r="H47" i="5"/>
  <c r="F47" i="5"/>
  <c r="F52" i="5" s="1"/>
  <c r="K46" i="5"/>
  <c r="J46" i="5"/>
  <c r="I46" i="5"/>
  <c r="G46" i="5"/>
  <c r="K45" i="5"/>
  <c r="J45" i="5"/>
  <c r="I45" i="5"/>
  <c r="K44" i="5"/>
  <c r="J44" i="5"/>
  <c r="I44" i="5"/>
  <c r="H44" i="5"/>
  <c r="G44" i="5"/>
  <c r="G47" i="5" s="1"/>
  <c r="H43" i="5"/>
  <c r="G43" i="5"/>
  <c r="F43" i="5"/>
  <c r="M42" i="5"/>
  <c r="K42" i="5" s="1"/>
  <c r="L42" i="5"/>
  <c r="L43" i="5" s="1"/>
  <c r="K41" i="5"/>
  <c r="J41" i="5"/>
  <c r="K40" i="5"/>
  <c r="J40" i="5"/>
  <c r="K39" i="5"/>
  <c r="J39" i="5"/>
  <c r="K38" i="5"/>
  <c r="J38" i="5"/>
  <c r="K37" i="5"/>
  <c r="J37" i="5"/>
  <c r="M36" i="5"/>
  <c r="L36" i="5"/>
  <c r="J36" i="5"/>
  <c r="K35" i="5"/>
  <c r="J35" i="5"/>
  <c r="I35" i="5"/>
  <c r="G35" i="5"/>
  <c r="M33" i="5"/>
  <c r="L33" i="5"/>
  <c r="M32" i="5"/>
  <c r="L32" i="5"/>
  <c r="H32" i="5"/>
  <c r="H33" i="5" s="1"/>
  <c r="J33" i="5" s="1"/>
  <c r="F32" i="5"/>
  <c r="K31" i="5"/>
  <c r="J31" i="5"/>
  <c r="I31" i="5"/>
  <c r="G31" i="5"/>
  <c r="J30" i="5"/>
  <c r="I30" i="5"/>
  <c r="J29" i="5"/>
  <c r="I29" i="5"/>
  <c r="K29" i="5" s="1"/>
  <c r="G29" i="5"/>
  <c r="G32" i="5" s="1"/>
  <c r="M28" i="5"/>
  <c r="L28" i="5"/>
  <c r="I28" i="5"/>
  <c r="K28" i="5" s="1"/>
  <c r="H28" i="5"/>
  <c r="J28" i="5" s="1"/>
  <c r="F28" i="5"/>
  <c r="J27" i="5"/>
  <c r="I27" i="5"/>
  <c r="K27" i="5" s="1"/>
  <c r="G27" i="5"/>
  <c r="G28" i="5" s="1"/>
  <c r="K26" i="5"/>
  <c r="J26" i="5"/>
  <c r="I26" i="5"/>
  <c r="K25" i="5"/>
  <c r="J25" i="5"/>
  <c r="I25" i="5"/>
  <c r="G25" i="5"/>
  <c r="M23" i="5"/>
  <c r="M24" i="5" s="1"/>
  <c r="L23" i="5"/>
  <c r="H23" i="5"/>
  <c r="H24" i="5" s="1"/>
  <c r="G23" i="5"/>
  <c r="G24" i="5" s="1"/>
  <c r="F23" i="5"/>
  <c r="F24" i="5" s="1"/>
  <c r="K22" i="5"/>
  <c r="J22" i="5"/>
  <c r="I22" i="5"/>
  <c r="G22" i="5"/>
  <c r="M21" i="5"/>
  <c r="L21" i="5"/>
  <c r="J21" i="5"/>
  <c r="I21" i="5"/>
  <c r="K21" i="5" s="1"/>
  <c r="M20" i="5"/>
  <c r="L20" i="5"/>
  <c r="K20" i="5"/>
  <c r="J20" i="5"/>
  <c r="I20" i="5"/>
  <c r="G20" i="5"/>
  <c r="M19" i="5"/>
  <c r="L19" i="5"/>
  <c r="K19" i="5"/>
  <c r="J19" i="5"/>
  <c r="I19" i="5"/>
  <c r="H19" i="5"/>
  <c r="G19" i="5"/>
  <c r="F19" i="5"/>
  <c r="K18" i="5"/>
  <c r="J18" i="5"/>
  <c r="I18" i="5"/>
  <c r="G18" i="5"/>
  <c r="K17" i="5"/>
  <c r="J17" i="5"/>
  <c r="I17" i="5"/>
  <c r="K16" i="5"/>
  <c r="J16" i="5"/>
  <c r="I16" i="5"/>
  <c r="G16" i="5"/>
  <c r="M14" i="5"/>
  <c r="M15" i="5" s="1"/>
  <c r="L14" i="5"/>
  <c r="H14" i="5"/>
  <c r="J14" i="5" s="1"/>
  <c r="F14" i="5"/>
  <c r="F15" i="5" s="1"/>
  <c r="J13" i="5"/>
  <c r="I13" i="5"/>
  <c r="K13" i="5" s="1"/>
  <c r="G13" i="5"/>
  <c r="G14" i="5" s="1"/>
  <c r="M12" i="5"/>
  <c r="K12" i="5"/>
  <c r="J12" i="5"/>
  <c r="I12" i="5"/>
  <c r="M11" i="5"/>
  <c r="K11" i="5"/>
  <c r="J11" i="5"/>
  <c r="I11" i="5"/>
  <c r="G11" i="5"/>
  <c r="M10" i="5"/>
  <c r="L10" i="5"/>
  <c r="L15" i="5" s="1"/>
  <c r="H10" i="5"/>
  <c r="G10" i="5"/>
  <c r="F10" i="5"/>
  <c r="K9" i="5"/>
  <c r="J9" i="5"/>
  <c r="I9" i="5"/>
  <c r="G9" i="5"/>
  <c r="K8" i="5"/>
  <c r="J8" i="5"/>
  <c r="I8" i="5"/>
  <c r="M7" i="5"/>
  <c r="L7" i="5"/>
  <c r="J7" i="5"/>
  <c r="I7" i="5"/>
  <c r="I10" i="5" s="1"/>
  <c r="K10" i="5" s="1"/>
  <c r="H7" i="5"/>
  <c r="G7" i="5"/>
  <c r="L82" i="4"/>
  <c r="I82" i="4"/>
  <c r="H82" i="4"/>
  <c r="J82" i="4" s="1"/>
  <c r="G82" i="4"/>
  <c r="F82" i="4"/>
  <c r="M81" i="4"/>
  <c r="L81" i="4"/>
  <c r="K81" i="4"/>
  <c r="J81" i="4"/>
  <c r="I81" i="4"/>
  <c r="H81" i="4"/>
  <c r="G81" i="4"/>
  <c r="F81" i="4"/>
  <c r="K80" i="4"/>
  <c r="J80" i="4"/>
  <c r="M79" i="4"/>
  <c r="L79" i="4"/>
  <c r="K79" i="4"/>
  <c r="J79" i="4"/>
  <c r="I79" i="4"/>
  <c r="H79" i="4"/>
  <c r="G79" i="4"/>
  <c r="F79" i="4"/>
  <c r="K78" i="4"/>
  <c r="J78" i="4"/>
  <c r="M77" i="4"/>
  <c r="L77" i="4"/>
  <c r="K77" i="4"/>
  <c r="J77" i="4"/>
  <c r="M76" i="4"/>
  <c r="L76" i="4"/>
  <c r="K76" i="4"/>
  <c r="J76" i="4"/>
  <c r="M75" i="4"/>
  <c r="K75" i="4" s="1"/>
  <c r="L75" i="4"/>
  <c r="J75" i="4"/>
  <c r="I75" i="4"/>
  <c r="H75" i="4"/>
  <c r="G75" i="4"/>
  <c r="F75" i="4"/>
  <c r="K74" i="4"/>
  <c r="J74" i="4"/>
  <c r="K73" i="4"/>
  <c r="J73" i="4"/>
  <c r="M72" i="4"/>
  <c r="K72" i="4"/>
  <c r="J72" i="4"/>
  <c r="M70" i="4"/>
  <c r="L70" i="4"/>
  <c r="H70" i="4"/>
  <c r="J70" i="4" s="1"/>
  <c r="F70" i="4"/>
  <c r="M69" i="4"/>
  <c r="L69" i="4"/>
  <c r="K69" i="4"/>
  <c r="J69" i="4"/>
  <c r="I69" i="4"/>
  <c r="I70" i="4" s="1"/>
  <c r="H69" i="4"/>
  <c r="G69" i="4"/>
  <c r="G70" i="4" s="1"/>
  <c r="F69" i="4"/>
  <c r="K68" i="4"/>
  <c r="J68" i="4"/>
  <c r="I68" i="4"/>
  <c r="G68" i="4"/>
  <c r="K67" i="4"/>
  <c r="J67" i="4"/>
  <c r="I67" i="4"/>
  <c r="K66" i="4"/>
  <c r="J66" i="4"/>
  <c r="I66" i="4"/>
  <c r="G66" i="4"/>
  <c r="M65" i="4"/>
  <c r="L65" i="4"/>
  <c r="K65" i="4"/>
  <c r="J65" i="4"/>
  <c r="I65" i="4"/>
  <c r="H65" i="4"/>
  <c r="G65" i="4"/>
  <c r="F65" i="4"/>
  <c r="K64" i="4"/>
  <c r="J64" i="4"/>
  <c r="I64" i="4"/>
  <c r="G64" i="4"/>
  <c r="K63" i="4"/>
  <c r="J63" i="4"/>
  <c r="I63" i="4"/>
  <c r="K62" i="4"/>
  <c r="J62" i="4"/>
  <c r="I62" i="4"/>
  <c r="G62" i="4"/>
  <c r="M61" i="4"/>
  <c r="L61" i="4"/>
  <c r="J61" i="4"/>
  <c r="I61" i="4"/>
  <c r="K61" i="4" s="1"/>
  <c r="H61" i="4"/>
  <c r="F61" i="4"/>
  <c r="M60" i="4"/>
  <c r="L60" i="4"/>
  <c r="K60" i="4"/>
  <c r="J60" i="4"/>
  <c r="I60" i="4"/>
  <c r="H60" i="4"/>
  <c r="G60" i="4"/>
  <c r="F60" i="4"/>
  <c r="K59" i="4"/>
  <c r="J59" i="4"/>
  <c r="I59" i="4"/>
  <c r="G59" i="4"/>
  <c r="K58" i="4"/>
  <c r="J58" i="4"/>
  <c r="I58" i="4"/>
  <c r="K57" i="4"/>
  <c r="J57" i="4"/>
  <c r="I57" i="4"/>
  <c r="G57" i="4"/>
  <c r="M56" i="4"/>
  <c r="L56" i="4"/>
  <c r="J56" i="4"/>
  <c r="I56" i="4"/>
  <c r="K56" i="4" s="1"/>
  <c r="H56" i="4"/>
  <c r="G56" i="4"/>
  <c r="G61" i="4" s="1"/>
  <c r="F56" i="4"/>
  <c r="K55" i="4"/>
  <c r="J55" i="4"/>
  <c r="I55" i="4"/>
  <c r="G55" i="4"/>
  <c r="K54" i="4"/>
  <c r="J54" i="4"/>
  <c r="I54" i="4"/>
  <c r="K53" i="4"/>
  <c r="J53" i="4"/>
  <c r="I53" i="4"/>
  <c r="G53" i="4"/>
  <c r="F52" i="4"/>
  <c r="M51" i="4"/>
  <c r="L51" i="4"/>
  <c r="K51" i="4"/>
  <c r="J51" i="4"/>
  <c r="I51" i="4"/>
  <c r="H51" i="4"/>
  <c r="G51" i="4"/>
  <c r="F51" i="4"/>
  <c r="K50" i="4"/>
  <c r="J50" i="4"/>
  <c r="I50" i="4"/>
  <c r="G50" i="4"/>
  <c r="K49" i="4"/>
  <c r="J49" i="4"/>
  <c r="I49" i="4"/>
  <c r="K48" i="4"/>
  <c r="J48" i="4"/>
  <c r="I48" i="4"/>
  <c r="G48" i="4"/>
  <c r="M47" i="4"/>
  <c r="M52" i="4" s="1"/>
  <c r="L47" i="4"/>
  <c r="L52" i="4" s="1"/>
  <c r="I47" i="4"/>
  <c r="K47" i="4" s="1"/>
  <c r="H47" i="4"/>
  <c r="H52" i="4" s="1"/>
  <c r="J52" i="4" s="1"/>
  <c r="F47" i="4"/>
  <c r="K46" i="4"/>
  <c r="J46" i="4"/>
  <c r="I46" i="4"/>
  <c r="G46" i="4"/>
  <c r="K45" i="4"/>
  <c r="J45" i="4"/>
  <c r="I45" i="4"/>
  <c r="J44" i="4"/>
  <c r="I44" i="4"/>
  <c r="K44" i="4" s="1"/>
  <c r="H44" i="4"/>
  <c r="G44" i="4"/>
  <c r="G47" i="4" s="1"/>
  <c r="I43" i="4"/>
  <c r="H43" i="4"/>
  <c r="G43" i="4"/>
  <c r="F43" i="4"/>
  <c r="M42" i="4"/>
  <c r="K42" i="4" s="1"/>
  <c r="L42" i="4"/>
  <c r="L43" i="4" s="1"/>
  <c r="K41" i="4"/>
  <c r="J41" i="4"/>
  <c r="K40" i="4"/>
  <c r="J40" i="4"/>
  <c r="K39" i="4"/>
  <c r="J39" i="4"/>
  <c r="K38" i="4"/>
  <c r="J38" i="4"/>
  <c r="K37" i="4"/>
  <c r="J37" i="4"/>
  <c r="M36" i="4"/>
  <c r="L36" i="4"/>
  <c r="K36" i="4"/>
  <c r="J36" i="4"/>
  <c r="I35" i="4"/>
  <c r="K35" i="4" s="1"/>
  <c r="H35" i="4"/>
  <c r="J35" i="4" s="1"/>
  <c r="G35" i="4"/>
  <c r="M33" i="4"/>
  <c r="L33" i="4"/>
  <c r="J33" i="4"/>
  <c r="I33" i="4"/>
  <c r="K33" i="4" s="1"/>
  <c r="H33" i="4"/>
  <c r="F33" i="4"/>
  <c r="M32" i="4"/>
  <c r="L32" i="4"/>
  <c r="K32" i="4"/>
  <c r="J32" i="4"/>
  <c r="I32" i="4"/>
  <c r="H32" i="4"/>
  <c r="G32" i="4"/>
  <c r="F32" i="4"/>
  <c r="K31" i="4"/>
  <c r="J31" i="4"/>
  <c r="I31" i="4"/>
  <c r="G31" i="4"/>
  <c r="K30" i="4"/>
  <c r="J30" i="4"/>
  <c r="I30" i="4"/>
  <c r="K29" i="4"/>
  <c r="J29" i="4"/>
  <c r="I29" i="4"/>
  <c r="G29" i="4"/>
  <c r="M28" i="4"/>
  <c r="L28" i="4"/>
  <c r="J28" i="4"/>
  <c r="I28" i="4"/>
  <c r="K28" i="4" s="1"/>
  <c r="H28" i="4"/>
  <c r="G28" i="4"/>
  <c r="G33" i="4" s="1"/>
  <c r="F28" i="4"/>
  <c r="K27" i="4"/>
  <c r="J27" i="4"/>
  <c r="I27" i="4"/>
  <c r="G27" i="4"/>
  <c r="K26" i="4"/>
  <c r="J26" i="4"/>
  <c r="I26" i="4"/>
  <c r="K25" i="4"/>
  <c r="J25" i="4"/>
  <c r="I25" i="4"/>
  <c r="G25" i="4"/>
  <c r="H24" i="4"/>
  <c r="F24" i="4"/>
  <c r="M23" i="4"/>
  <c r="M24" i="4" s="1"/>
  <c r="L23" i="4"/>
  <c r="J23" i="4" s="1"/>
  <c r="K23" i="4"/>
  <c r="I23" i="4"/>
  <c r="I24" i="4" s="1"/>
  <c r="H23" i="4"/>
  <c r="G23" i="4"/>
  <c r="G24" i="4" s="1"/>
  <c r="F23" i="4"/>
  <c r="K22" i="4"/>
  <c r="J22" i="4"/>
  <c r="I22" i="4"/>
  <c r="G22" i="4"/>
  <c r="M21" i="4"/>
  <c r="L21" i="4"/>
  <c r="K21" i="4"/>
  <c r="J21" i="4"/>
  <c r="I21" i="4"/>
  <c r="M20" i="4"/>
  <c r="L20" i="4"/>
  <c r="K20" i="4"/>
  <c r="J20" i="4"/>
  <c r="I20" i="4"/>
  <c r="G20" i="4"/>
  <c r="M19" i="4"/>
  <c r="L19" i="4"/>
  <c r="K19" i="4"/>
  <c r="J19" i="4"/>
  <c r="I19" i="4"/>
  <c r="H19" i="4"/>
  <c r="G19" i="4"/>
  <c r="F19" i="4"/>
  <c r="K18" i="4"/>
  <c r="J18" i="4"/>
  <c r="I18" i="4"/>
  <c r="G18" i="4"/>
  <c r="K17" i="4"/>
  <c r="J17" i="4"/>
  <c r="I17" i="4"/>
  <c r="K16" i="4"/>
  <c r="J16" i="4"/>
  <c r="I16" i="4"/>
  <c r="G16" i="4"/>
  <c r="L15" i="4"/>
  <c r="J15" i="4"/>
  <c r="I15" i="4"/>
  <c r="I34" i="4" s="1"/>
  <c r="H15" i="4"/>
  <c r="H34" i="4" s="1"/>
  <c r="M14" i="4"/>
  <c r="K14" i="4" s="1"/>
  <c r="L14" i="4"/>
  <c r="J14" i="4"/>
  <c r="I14" i="4"/>
  <c r="H14" i="4"/>
  <c r="G14" i="4"/>
  <c r="F14" i="4"/>
  <c r="K13" i="4"/>
  <c r="J13" i="4"/>
  <c r="I13" i="4"/>
  <c r="G13" i="4"/>
  <c r="M12" i="4"/>
  <c r="K12" i="4"/>
  <c r="J12" i="4"/>
  <c r="I12" i="4"/>
  <c r="M11" i="4"/>
  <c r="K11" i="4"/>
  <c r="J11" i="4"/>
  <c r="I11" i="4"/>
  <c r="G11" i="4"/>
  <c r="M10" i="4"/>
  <c r="L10" i="4"/>
  <c r="K10" i="4"/>
  <c r="J10" i="4"/>
  <c r="I10" i="4"/>
  <c r="H10" i="4"/>
  <c r="G10" i="4"/>
  <c r="G15" i="4" s="1"/>
  <c r="G34" i="4" s="1"/>
  <c r="F10" i="4"/>
  <c r="F15" i="4" s="1"/>
  <c r="F34" i="4" s="1"/>
  <c r="K9" i="4"/>
  <c r="J9" i="4"/>
  <c r="I9" i="4"/>
  <c r="G9" i="4"/>
  <c r="K8" i="4"/>
  <c r="J8" i="4"/>
  <c r="I8" i="4"/>
  <c r="M7" i="4"/>
  <c r="L7" i="4"/>
  <c r="K7" i="4"/>
  <c r="J7" i="4"/>
  <c r="I7" i="4"/>
  <c r="H7" i="4"/>
  <c r="G7" i="4"/>
  <c r="M21" i="2"/>
  <c r="K21" i="2" s="1"/>
  <c r="M7" i="2"/>
  <c r="M10" i="2" s="1"/>
  <c r="K10" i="2" s="1"/>
  <c r="L7" i="2"/>
  <c r="L21" i="2"/>
  <c r="M20" i="2"/>
  <c r="K20" i="2" s="1"/>
  <c r="L20" i="2"/>
  <c r="J8" i="2"/>
  <c r="K8" i="2"/>
  <c r="J9" i="2"/>
  <c r="K9" i="2"/>
  <c r="J11" i="2"/>
  <c r="K11" i="2"/>
  <c r="J12" i="2"/>
  <c r="K12" i="2"/>
  <c r="J13" i="2"/>
  <c r="K13" i="2"/>
  <c r="J14" i="2"/>
  <c r="K14" i="2"/>
  <c r="J16" i="2"/>
  <c r="K16" i="2"/>
  <c r="J17" i="2"/>
  <c r="K17" i="2"/>
  <c r="J18" i="2"/>
  <c r="K18" i="2"/>
  <c r="J19" i="2"/>
  <c r="K19" i="2"/>
  <c r="J20" i="2"/>
  <c r="J21" i="2"/>
  <c r="J22" i="2"/>
  <c r="K22" i="2"/>
  <c r="J25" i="2"/>
  <c r="K25" i="2"/>
  <c r="J26" i="2"/>
  <c r="K26" i="2"/>
  <c r="J27" i="2"/>
  <c r="K27" i="2"/>
  <c r="J29" i="2"/>
  <c r="K29" i="2"/>
  <c r="J30" i="2"/>
  <c r="K30" i="2"/>
  <c r="J31" i="2"/>
  <c r="K31" i="2"/>
  <c r="J32" i="2"/>
  <c r="K32" i="2"/>
  <c r="J36" i="2"/>
  <c r="J37" i="2"/>
  <c r="K37" i="2"/>
  <c r="J38" i="2"/>
  <c r="K38" i="2"/>
  <c r="J39" i="2"/>
  <c r="K39" i="2"/>
  <c r="J40" i="2"/>
  <c r="K40" i="2"/>
  <c r="J41" i="2"/>
  <c r="K41" i="2"/>
  <c r="J42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K51" i="2"/>
  <c r="J53" i="2"/>
  <c r="K53" i="2"/>
  <c r="J54" i="2"/>
  <c r="K54" i="2"/>
  <c r="J55" i="2"/>
  <c r="K55" i="2"/>
  <c r="J57" i="2"/>
  <c r="K57" i="2"/>
  <c r="J58" i="2"/>
  <c r="K58" i="2"/>
  <c r="J59" i="2"/>
  <c r="K59" i="2"/>
  <c r="J62" i="2"/>
  <c r="K62" i="2"/>
  <c r="J63" i="2"/>
  <c r="K63" i="2"/>
  <c r="J64" i="2"/>
  <c r="K64" i="2"/>
  <c r="J66" i="2"/>
  <c r="J67" i="2"/>
  <c r="J68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L82" i="2"/>
  <c r="J82" i="2" s="1"/>
  <c r="I82" i="2"/>
  <c r="H82" i="2"/>
  <c r="G82" i="2"/>
  <c r="F82" i="2"/>
  <c r="M81" i="2"/>
  <c r="L81" i="2"/>
  <c r="I81" i="2"/>
  <c r="H81" i="2"/>
  <c r="G81" i="2"/>
  <c r="F81" i="2"/>
  <c r="M79" i="2"/>
  <c r="L79" i="2"/>
  <c r="I79" i="2"/>
  <c r="H79" i="2"/>
  <c r="G79" i="2"/>
  <c r="F79" i="2"/>
  <c r="M75" i="2"/>
  <c r="M82" i="2" s="1"/>
  <c r="K82" i="2" s="1"/>
  <c r="L75" i="2"/>
  <c r="I75" i="2"/>
  <c r="H75" i="2"/>
  <c r="G75" i="2"/>
  <c r="F75" i="2"/>
  <c r="M69" i="2"/>
  <c r="L69" i="2"/>
  <c r="L65" i="2"/>
  <c r="J65" i="2" s="1"/>
  <c r="M65" i="2"/>
  <c r="M60" i="2"/>
  <c r="K60" i="2" s="1"/>
  <c r="L60" i="2"/>
  <c r="J60" i="2" s="1"/>
  <c r="M56" i="2"/>
  <c r="K56" i="2" s="1"/>
  <c r="L56" i="2"/>
  <c r="J56" i="2" s="1"/>
  <c r="M51" i="2"/>
  <c r="M52" i="2" s="1"/>
  <c r="K52" i="2" s="1"/>
  <c r="L51" i="2"/>
  <c r="J51" i="2" s="1"/>
  <c r="M47" i="2"/>
  <c r="L47" i="2"/>
  <c r="I43" i="2"/>
  <c r="H43" i="2"/>
  <c r="G43" i="2"/>
  <c r="F43" i="2"/>
  <c r="M43" i="2"/>
  <c r="M42" i="2"/>
  <c r="K42" i="2" s="1"/>
  <c r="L42" i="2"/>
  <c r="L43" i="2" s="1"/>
  <c r="J43" i="2" s="1"/>
  <c r="M36" i="2"/>
  <c r="K36" i="2" s="1"/>
  <c r="L36" i="2"/>
  <c r="M77" i="2"/>
  <c r="M76" i="2"/>
  <c r="L76" i="2"/>
  <c r="L77" i="2"/>
  <c r="M72" i="2"/>
  <c r="M12" i="2"/>
  <c r="M11" i="2"/>
  <c r="O34" i="16" l="1"/>
  <c r="K34" i="16"/>
  <c r="I83" i="16"/>
  <c r="N83" i="16"/>
  <c r="J83" i="16"/>
  <c r="O83" i="15"/>
  <c r="K83" i="15"/>
  <c r="O71" i="14"/>
  <c r="K71" i="14"/>
  <c r="I83" i="14"/>
  <c r="O83" i="13"/>
  <c r="K83" i="13"/>
  <c r="K71" i="12"/>
  <c r="O71" i="12"/>
  <c r="I83" i="12"/>
  <c r="O34" i="12"/>
  <c r="K34" i="12"/>
  <c r="H47" i="9"/>
  <c r="J44" i="9"/>
  <c r="O46" i="9"/>
  <c r="K46" i="9"/>
  <c r="O49" i="9"/>
  <c r="K49" i="9"/>
  <c r="O58" i="9"/>
  <c r="K58" i="9"/>
  <c r="O63" i="9"/>
  <c r="K63" i="9"/>
  <c r="O67" i="9"/>
  <c r="K67" i="9"/>
  <c r="O45" i="9"/>
  <c r="K45" i="9"/>
  <c r="O53" i="9"/>
  <c r="K53" i="9"/>
  <c r="O50" i="9"/>
  <c r="K50" i="9"/>
  <c r="O55" i="9"/>
  <c r="K55" i="9"/>
  <c r="O59" i="9"/>
  <c r="K59" i="9"/>
  <c r="O64" i="9"/>
  <c r="K64" i="9"/>
  <c r="O68" i="9"/>
  <c r="K68" i="9"/>
  <c r="N65" i="9"/>
  <c r="G10" i="9"/>
  <c r="O21" i="9"/>
  <c r="H82" i="9"/>
  <c r="J82" i="9" s="1"/>
  <c r="Q24" i="9"/>
  <c r="G47" i="9"/>
  <c r="I65" i="9"/>
  <c r="P15" i="9"/>
  <c r="G23" i="9"/>
  <c r="P33" i="9"/>
  <c r="N44" i="9"/>
  <c r="Q43" i="9"/>
  <c r="Q52" i="9"/>
  <c r="G19" i="9"/>
  <c r="I60" i="9"/>
  <c r="O62" i="9"/>
  <c r="N75" i="9"/>
  <c r="O12" i="9"/>
  <c r="G28" i="9"/>
  <c r="N28" i="9"/>
  <c r="P52" i="9"/>
  <c r="F61" i="9"/>
  <c r="I69" i="9"/>
  <c r="H70" i="9"/>
  <c r="J70" i="9" s="1"/>
  <c r="Q79" i="9"/>
  <c r="O79" i="9" s="1"/>
  <c r="H24" i="9"/>
  <c r="I51" i="9"/>
  <c r="F52" i="9"/>
  <c r="I56" i="9"/>
  <c r="Q61" i="9"/>
  <c r="H61" i="9"/>
  <c r="J61" i="9" s="1"/>
  <c r="G65" i="9"/>
  <c r="O66" i="9"/>
  <c r="N69" i="9"/>
  <c r="O72" i="9"/>
  <c r="P79" i="9"/>
  <c r="N79" i="9" s="1"/>
  <c r="I82" i="9"/>
  <c r="K82" i="9" s="1"/>
  <c r="F15" i="9"/>
  <c r="O11" i="9"/>
  <c r="I14" i="9"/>
  <c r="P23" i="9"/>
  <c r="P24" i="9" s="1"/>
  <c r="G32" i="9"/>
  <c r="H33" i="9"/>
  <c r="H52" i="9"/>
  <c r="J52" i="9" s="1"/>
  <c r="G56" i="9"/>
  <c r="G60" i="9"/>
  <c r="P61" i="9"/>
  <c r="G69" i="9"/>
  <c r="P70" i="9"/>
  <c r="F82" i="9"/>
  <c r="N19" i="9"/>
  <c r="Q33" i="9"/>
  <c r="P43" i="9"/>
  <c r="N43" i="9" s="1"/>
  <c r="O48" i="9"/>
  <c r="N51" i="9"/>
  <c r="N56" i="9"/>
  <c r="F70" i="9"/>
  <c r="Q70" i="9"/>
  <c r="G82" i="9"/>
  <c r="F24" i="9"/>
  <c r="F33" i="9"/>
  <c r="G14" i="9"/>
  <c r="G15" i="9" s="1"/>
  <c r="I28" i="9"/>
  <c r="O28" i="9" s="1"/>
  <c r="O25" i="9"/>
  <c r="I7" i="9"/>
  <c r="H10" i="9"/>
  <c r="N10" i="9" s="1"/>
  <c r="I19" i="9"/>
  <c r="O19" i="9" s="1"/>
  <c r="O16" i="9"/>
  <c r="I36" i="9"/>
  <c r="O35" i="9"/>
  <c r="N7" i="9"/>
  <c r="I32" i="9"/>
  <c r="O29" i="9"/>
  <c r="G52" i="9"/>
  <c r="Q14" i="9"/>
  <c r="I23" i="9"/>
  <c r="O20" i="9"/>
  <c r="O42" i="9"/>
  <c r="O54" i="9"/>
  <c r="O57" i="9"/>
  <c r="N60" i="9"/>
  <c r="N14" i="9"/>
  <c r="N21" i="9"/>
  <c r="N32" i="9"/>
  <c r="N36" i="9"/>
  <c r="I44" i="9"/>
  <c r="K44" i="9" s="1"/>
  <c r="N76" i="9"/>
  <c r="N81" i="9"/>
  <c r="O81" i="9"/>
  <c r="F33" i="8"/>
  <c r="G32" i="8"/>
  <c r="G33" i="8" s="1"/>
  <c r="F34" i="8"/>
  <c r="G14" i="8"/>
  <c r="G15" i="8" s="1"/>
  <c r="K51" i="8"/>
  <c r="I52" i="8"/>
  <c r="K52" i="8" s="1"/>
  <c r="H71" i="8"/>
  <c r="J71" i="8" s="1"/>
  <c r="J70" i="8"/>
  <c r="J82" i="8"/>
  <c r="M15" i="8"/>
  <c r="M34" i="8" s="1"/>
  <c r="G71" i="8"/>
  <c r="K75" i="8"/>
  <c r="I15" i="8"/>
  <c r="K14" i="8"/>
  <c r="H34" i="8"/>
  <c r="J15" i="8"/>
  <c r="I24" i="8"/>
  <c r="K24" i="8" s="1"/>
  <c r="K23" i="8"/>
  <c r="I33" i="8"/>
  <c r="K33" i="8" s="1"/>
  <c r="K32" i="8"/>
  <c r="J43" i="8"/>
  <c r="J52" i="8"/>
  <c r="K61" i="8"/>
  <c r="K69" i="8"/>
  <c r="I70" i="8"/>
  <c r="L71" i="8"/>
  <c r="F83" i="8"/>
  <c r="L82" i="8"/>
  <c r="K10" i="8"/>
  <c r="L24" i="8"/>
  <c r="L34" i="8" s="1"/>
  <c r="J24" i="8"/>
  <c r="J33" i="8"/>
  <c r="I43" i="8"/>
  <c r="K43" i="8" s="1"/>
  <c r="K36" i="8"/>
  <c r="G52" i="8"/>
  <c r="M71" i="8"/>
  <c r="M82" i="8"/>
  <c r="K67" i="8"/>
  <c r="J81" i="8"/>
  <c r="K7" i="8"/>
  <c r="J14" i="8"/>
  <c r="J21" i="8"/>
  <c r="J23" i="8"/>
  <c r="J32" i="8"/>
  <c r="J36" i="8"/>
  <c r="K49" i="8"/>
  <c r="K53" i="8"/>
  <c r="K60" i="8"/>
  <c r="K11" i="8"/>
  <c r="M43" i="8"/>
  <c r="H61" i="8"/>
  <c r="J61" i="8" s="1"/>
  <c r="K76" i="8"/>
  <c r="K81" i="8"/>
  <c r="K72" i="8"/>
  <c r="K16" i="8"/>
  <c r="K20" i="8"/>
  <c r="K25" i="8"/>
  <c r="K29" i="8"/>
  <c r="K35" i="8"/>
  <c r="G23" i="7"/>
  <c r="G24" i="7" s="1"/>
  <c r="F24" i="7"/>
  <c r="I32" i="7"/>
  <c r="H33" i="7"/>
  <c r="J33" i="7" s="1"/>
  <c r="I33" i="7"/>
  <c r="K33" i="7" s="1"/>
  <c r="I28" i="7"/>
  <c r="K28" i="7" s="1"/>
  <c r="G28" i="7"/>
  <c r="G33" i="7" s="1"/>
  <c r="F34" i="7"/>
  <c r="G14" i="7"/>
  <c r="G15" i="7" s="1"/>
  <c r="I15" i="7"/>
  <c r="K14" i="7"/>
  <c r="J82" i="7"/>
  <c r="H52" i="7"/>
  <c r="J52" i="7" s="1"/>
  <c r="F71" i="7"/>
  <c r="J70" i="7"/>
  <c r="M24" i="7"/>
  <c r="M34" i="7" s="1"/>
  <c r="I24" i="7"/>
  <c r="K23" i="7"/>
  <c r="L71" i="7"/>
  <c r="L83" i="7" s="1"/>
  <c r="K75" i="7"/>
  <c r="M82" i="7"/>
  <c r="I61" i="7"/>
  <c r="K61" i="7" s="1"/>
  <c r="K7" i="7"/>
  <c r="H47" i="7"/>
  <c r="J47" i="7" s="1"/>
  <c r="I51" i="7"/>
  <c r="I69" i="7"/>
  <c r="K11" i="7"/>
  <c r="K21" i="7"/>
  <c r="K32" i="7"/>
  <c r="K36" i="7"/>
  <c r="J51" i="7"/>
  <c r="J69" i="7"/>
  <c r="K76" i="7"/>
  <c r="K81" i="7"/>
  <c r="K72" i="7"/>
  <c r="J79" i="7"/>
  <c r="J43" i="6"/>
  <c r="K30" i="6"/>
  <c r="G33" i="6"/>
  <c r="H33" i="6"/>
  <c r="J33" i="6" s="1"/>
  <c r="F24" i="6"/>
  <c r="I28" i="6"/>
  <c r="K28" i="6" s="1"/>
  <c r="J28" i="6"/>
  <c r="F15" i="6"/>
  <c r="F34" i="6" s="1"/>
  <c r="F83" i="6" s="1"/>
  <c r="G14" i="6"/>
  <c r="G15" i="6" s="1"/>
  <c r="I10" i="6"/>
  <c r="K10" i="6" s="1"/>
  <c r="H15" i="6"/>
  <c r="M34" i="6"/>
  <c r="M83" i="6" s="1"/>
  <c r="J24" i="6"/>
  <c r="G71" i="6"/>
  <c r="J71" i="6"/>
  <c r="L83" i="6"/>
  <c r="J82" i="6"/>
  <c r="L34" i="6"/>
  <c r="I24" i="6"/>
  <c r="K24" i="6" s="1"/>
  <c r="J23" i="6"/>
  <c r="K32" i="6"/>
  <c r="K36" i="6"/>
  <c r="K82" i="6"/>
  <c r="I71" i="6"/>
  <c r="K71" i="6" s="1"/>
  <c r="K14" i="6"/>
  <c r="J79" i="6"/>
  <c r="K79" i="6"/>
  <c r="M43" i="5"/>
  <c r="K43" i="5" s="1"/>
  <c r="J42" i="5"/>
  <c r="J43" i="5"/>
  <c r="I32" i="5"/>
  <c r="I33" i="5"/>
  <c r="K33" i="5" s="1"/>
  <c r="F33" i="5"/>
  <c r="I14" i="5"/>
  <c r="K14" i="5" s="1"/>
  <c r="H15" i="5"/>
  <c r="J15" i="5" s="1"/>
  <c r="G15" i="5"/>
  <c r="G52" i="5"/>
  <c r="F71" i="5"/>
  <c r="G70" i="5"/>
  <c r="G71" i="5" s="1"/>
  <c r="K69" i="5"/>
  <c r="I70" i="5"/>
  <c r="K70" i="5" s="1"/>
  <c r="L52" i="5"/>
  <c r="J52" i="5" s="1"/>
  <c r="I51" i="5"/>
  <c r="I60" i="5"/>
  <c r="K60" i="5" s="1"/>
  <c r="J81" i="5"/>
  <c r="J60" i="5"/>
  <c r="K67" i="5"/>
  <c r="K81" i="5"/>
  <c r="H71" i="5"/>
  <c r="M71" i="5"/>
  <c r="J47" i="5"/>
  <c r="L71" i="5"/>
  <c r="J71" i="5" s="1"/>
  <c r="J10" i="5"/>
  <c r="K36" i="5"/>
  <c r="J32" i="5"/>
  <c r="K30" i="5"/>
  <c r="G33" i="5"/>
  <c r="I23" i="5"/>
  <c r="J23" i="5"/>
  <c r="F34" i="5"/>
  <c r="F83" i="5" s="1"/>
  <c r="H34" i="5"/>
  <c r="H83" i="5" s="1"/>
  <c r="M34" i="5"/>
  <c r="K82" i="5"/>
  <c r="L24" i="5"/>
  <c r="L34" i="5" s="1"/>
  <c r="I15" i="5"/>
  <c r="K7" i="5"/>
  <c r="K32" i="5"/>
  <c r="J43" i="4"/>
  <c r="M43" i="4"/>
  <c r="K43" i="4" s="1"/>
  <c r="M71" i="4"/>
  <c r="J42" i="4"/>
  <c r="J47" i="4"/>
  <c r="G52" i="4"/>
  <c r="G71" i="4" s="1"/>
  <c r="G83" i="4" s="1"/>
  <c r="F71" i="4"/>
  <c r="F83" i="4" s="1"/>
  <c r="I52" i="4"/>
  <c r="K52" i="4" s="1"/>
  <c r="L71" i="4"/>
  <c r="J24" i="4"/>
  <c r="K70" i="4"/>
  <c r="I71" i="4"/>
  <c r="K24" i="4"/>
  <c r="L24" i="4"/>
  <c r="L34" i="4" s="1"/>
  <c r="H71" i="4"/>
  <c r="M82" i="4"/>
  <c r="M15" i="4"/>
  <c r="M34" i="4" s="1"/>
  <c r="K34" i="4" s="1"/>
  <c r="K43" i="2"/>
  <c r="M70" i="2"/>
  <c r="L70" i="2"/>
  <c r="K65" i="2"/>
  <c r="M61" i="2"/>
  <c r="K61" i="2" s="1"/>
  <c r="L61" i="2"/>
  <c r="J61" i="2" s="1"/>
  <c r="L52" i="2"/>
  <c r="J52" i="2" s="1"/>
  <c r="O83" i="16" l="1"/>
  <c r="K83" i="16"/>
  <c r="K83" i="14"/>
  <c r="O83" i="14"/>
  <c r="O83" i="12"/>
  <c r="K83" i="12"/>
  <c r="O56" i="9"/>
  <c r="K56" i="9"/>
  <c r="O51" i="9"/>
  <c r="K51" i="9"/>
  <c r="O69" i="9"/>
  <c r="K69" i="9"/>
  <c r="O60" i="9"/>
  <c r="K60" i="9"/>
  <c r="O65" i="9"/>
  <c r="K65" i="9"/>
  <c r="N47" i="9"/>
  <c r="J47" i="9"/>
  <c r="G24" i="9"/>
  <c r="F71" i="9"/>
  <c r="N70" i="9"/>
  <c r="N52" i="9"/>
  <c r="N23" i="9"/>
  <c r="I61" i="9"/>
  <c r="H15" i="9"/>
  <c r="H34" i="9" s="1"/>
  <c r="N33" i="9"/>
  <c r="P82" i="9"/>
  <c r="N82" i="9" s="1"/>
  <c r="F34" i="9"/>
  <c r="F83" i="9" s="1"/>
  <c r="Q71" i="9"/>
  <c r="G33" i="9"/>
  <c r="G34" i="9" s="1"/>
  <c r="I70" i="9"/>
  <c r="Q82" i="9"/>
  <c r="O82" i="9" s="1"/>
  <c r="O14" i="9"/>
  <c r="P71" i="9"/>
  <c r="P34" i="9"/>
  <c r="N24" i="9"/>
  <c r="N61" i="9"/>
  <c r="H71" i="9"/>
  <c r="J71" i="9" s="1"/>
  <c r="G61" i="9"/>
  <c r="Q15" i="9"/>
  <c r="Q34" i="9" s="1"/>
  <c r="G70" i="9"/>
  <c r="I43" i="9"/>
  <c r="O36" i="9"/>
  <c r="O7" i="9"/>
  <c r="I10" i="9"/>
  <c r="O44" i="9"/>
  <c r="I47" i="9"/>
  <c r="K47" i="9" s="1"/>
  <c r="I24" i="9"/>
  <c r="O24" i="9" s="1"/>
  <c r="O23" i="9"/>
  <c r="I33" i="9"/>
  <c r="O33" i="9" s="1"/>
  <c r="O32" i="9"/>
  <c r="G34" i="8"/>
  <c r="G83" i="8" s="1"/>
  <c r="M83" i="8"/>
  <c r="J34" i="8"/>
  <c r="K70" i="8"/>
  <c r="I71" i="8"/>
  <c r="I34" i="8"/>
  <c r="K34" i="8" s="1"/>
  <c r="K15" i="8"/>
  <c r="H83" i="8"/>
  <c r="L83" i="8"/>
  <c r="K82" i="8"/>
  <c r="H34" i="7"/>
  <c r="J34" i="7" s="1"/>
  <c r="F83" i="7"/>
  <c r="G34" i="7"/>
  <c r="G83" i="7" s="1"/>
  <c r="I52" i="7"/>
  <c r="K52" i="7" s="1"/>
  <c r="K51" i="7"/>
  <c r="M83" i="7"/>
  <c r="K82" i="7"/>
  <c r="K69" i="7"/>
  <c r="I70" i="7"/>
  <c r="K24" i="7"/>
  <c r="H71" i="7"/>
  <c r="I34" i="7"/>
  <c r="K34" i="7" s="1"/>
  <c r="K15" i="7"/>
  <c r="H34" i="6"/>
  <c r="H83" i="6" s="1"/>
  <c r="J83" i="6" s="1"/>
  <c r="G34" i="6"/>
  <c r="G83" i="6" s="1"/>
  <c r="I33" i="6"/>
  <c r="K33" i="6" s="1"/>
  <c r="J15" i="6"/>
  <c r="J34" i="6"/>
  <c r="I15" i="6"/>
  <c r="K15" i="6" s="1"/>
  <c r="I34" i="6"/>
  <c r="G34" i="5"/>
  <c r="G83" i="5" s="1"/>
  <c r="I52" i="5"/>
  <c r="K52" i="5" s="1"/>
  <c r="K51" i="5"/>
  <c r="J83" i="5"/>
  <c r="I61" i="5"/>
  <c r="M83" i="5"/>
  <c r="L83" i="5"/>
  <c r="I24" i="5"/>
  <c r="K24" i="5" s="1"/>
  <c r="K23" i="5"/>
  <c r="K15" i="5"/>
  <c r="I34" i="5"/>
  <c r="J24" i="5"/>
  <c r="J34" i="5"/>
  <c r="K71" i="4"/>
  <c r="I83" i="4"/>
  <c r="J34" i="4"/>
  <c r="L83" i="4"/>
  <c r="M83" i="4"/>
  <c r="K15" i="4"/>
  <c r="J71" i="4"/>
  <c r="H83" i="4"/>
  <c r="K82" i="4"/>
  <c r="M71" i="2"/>
  <c r="L71" i="2"/>
  <c r="O43" i="9" l="1"/>
  <c r="K43" i="9"/>
  <c r="O61" i="9"/>
  <c r="K61" i="9"/>
  <c r="O70" i="9"/>
  <c r="K70" i="9"/>
  <c r="Q83" i="9"/>
  <c r="P83" i="9"/>
  <c r="G71" i="9"/>
  <c r="G83" i="9" s="1"/>
  <c r="N15" i="9"/>
  <c r="N71" i="9"/>
  <c r="O10" i="9"/>
  <c r="I15" i="9"/>
  <c r="O47" i="9"/>
  <c r="I52" i="9"/>
  <c r="K52" i="9" s="1"/>
  <c r="N34" i="9"/>
  <c r="H83" i="9"/>
  <c r="K71" i="8"/>
  <c r="I83" i="8"/>
  <c r="K83" i="8" s="1"/>
  <c r="J83" i="8"/>
  <c r="K70" i="7"/>
  <c r="I71" i="7"/>
  <c r="J71" i="7"/>
  <c r="H83" i="7"/>
  <c r="J83" i="7" s="1"/>
  <c r="K34" i="6"/>
  <c r="I83" i="6"/>
  <c r="K83" i="6" s="1"/>
  <c r="K61" i="5"/>
  <c r="I71" i="5"/>
  <c r="K34" i="5"/>
  <c r="N83" i="9" l="1"/>
  <c r="J83" i="9"/>
  <c r="O52" i="9"/>
  <c r="I71" i="9"/>
  <c r="K71" i="9" s="1"/>
  <c r="I34" i="9"/>
  <c r="O34" i="9" s="1"/>
  <c r="O15" i="9"/>
  <c r="K71" i="7"/>
  <c r="I83" i="7"/>
  <c r="K83" i="7" s="1"/>
  <c r="K71" i="5"/>
  <c r="I83" i="5"/>
  <c r="K83" i="5" s="1"/>
  <c r="H35" i="2"/>
  <c r="G35" i="2"/>
  <c r="I45" i="2"/>
  <c r="G46" i="2"/>
  <c r="I46" i="2"/>
  <c r="F47" i="2"/>
  <c r="G48" i="2"/>
  <c r="I48" i="2"/>
  <c r="I49" i="2"/>
  <c r="G50" i="2"/>
  <c r="I50" i="2"/>
  <c r="F51" i="2"/>
  <c r="F52" i="2" s="1"/>
  <c r="H51" i="2"/>
  <c r="G53" i="2"/>
  <c r="I53" i="2"/>
  <c r="I54" i="2"/>
  <c r="G55" i="2"/>
  <c r="I55" i="2"/>
  <c r="F56" i="2"/>
  <c r="G56" i="2"/>
  <c r="H56" i="2"/>
  <c r="G57" i="2"/>
  <c r="I57" i="2"/>
  <c r="I58" i="2"/>
  <c r="G59" i="2"/>
  <c r="I59" i="2"/>
  <c r="F60" i="2"/>
  <c r="F61" i="2" s="1"/>
  <c r="H60" i="2"/>
  <c r="G62" i="2"/>
  <c r="I62" i="2"/>
  <c r="I63" i="2"/>
  <c r="G64" i="2"/>
  <c r="I64" i="2"/>
  <c r="F65" i="2"/>
  <c r="H65" i="2"/>
  <c r="G66" i="2"/>
  <c r="I66" i="2"/>
  <c r="K66" i="2" s="1"/>
  <c r="I67" i="2"/>
  <c r="K67" i="2" s="1"/>
  <c r="G68" i="2"/>
  <c r="I68" i="2"/>
  <c r="K68" i="2" s="1"/>
  <c r="F69" i="2"/>
  <c r="H69" i="2"/>
  <c r="J69" i="2" s="1"/>
  <c r="H44" i="2"/>
  <c r="G44" i="2"/>
  <c r="H7" i="2"/>
  <c r="H10" i="2" s="1"/>
  <c r="H32" i="2"/>
  <c r="I31" i="2"/>
  <c r="I30" i="2"/>
  <c r="I29" i="2"/>
  <c r="H28" i="2"/>
  <c r="I27" i="2"/>
  <c r="I26" i="2"/>
  <c r="I25" i="2"/>
  <c r="H23" i="2"/>
  <c r="I22" i="2"/>
  <c r="I21" i="2"/>
  <c r="I20" i="2"/>
  <c r="H19" i="2"/>
  <c r="I18" i="2"/>
  <c r="M19" i="2" s="1"/>
  <c r="I17" i="2"/>
  <c r="I16" i="2"/>
  <c r="H14" i="2"/>
  <c r="I13" i="2"/>
  <c r="I12" i="2"/>
  <c r="I11" i="2"/>
  <c r="I9" i="2"/>
  <c r="I8" i="2"/>
  <c r="M32" i="2"/>
  <c r="L32" i="2"/>
  <c r="F32" i="2"/>
  <c r="G31" i="2"/>
  <c r="G29" i="2"/>
  <c r="M28" i="2"/>
  <c r="K28" i="2" s="1"/>
  <c r="L28" i="2"/>
  <c r="J28" i="2" s="1"/>
  <c r="F28" i="2"/>
  <c r="G27" i="2"/>
  <c r="G25" i="2"/>
  <c r="M23" i="2"/>
  <c r="K23" i="2" s="1"/>
  <c r="L23" i="2"/>
  <c r="J23" i="2" s="1"/>
  <c r="F23" i="2"/>
  <c r="G22" i="2"/>
  <c r="G20" i="2"/>
  <c r="L19" i="2"/>
  <c r="F19" i="2"/>
  <c r="G18" i="2"/>
  <c r="G16" i="2"/>
  <c r="M14" i="2"/>
  <c r="L14" i="2"/>
  <c r="F14" i="2"/>
  <c r="G13" i="2"/>
  <c r="G11" i="2"/>
  <c r="L10" i="2"/>
  <c r="J10" i="2" s="1"/>
  <c r="F10" i="2"/>
  <c r="G9" i="2"/>
  <c r="G7" i="2"/>
  <c r="O71" i="9" l="1"/>
  <c r="I83" i="9"/>
  <c r="I35" i="2"/>
  <c r="K35" i="2" s="1"/>
  <c r="J35" i="2"/>
  <c r="F70" i="2"/>
  <c r="F71" i="2" s="1"/>
  <c r="F83" i="2" s="1"/>
  <c r="G69" i="2"/>
  <c r="G60" i="2"/>
  <c r="G61" i="2" s="1"/>
  <c r="G65" i="2"/>
  <c r="I60" i="2"/>
  <c r="G47" i="2"/>
  <c r="J7" i="2"/>
  <c r="H70" i="2"/>
  <c r="I51" i="2"/>
  <c r="G51" i="2"/>
  <c r="G52" i="2"/>
  <c r="I7" i="2"/>
  <c r="K7" i="2" s="1"/>
  <c r="H47" i="2"/>
  <c r="H52" i="2" s="1"/>
  <c r="I44" i="2"/>
  <c r="I47" i="2" s="1"/>
  <c r="I69" i="2"/>
  <c r="K69" i="2" s="1"/>
  <c r="I65" i="2"/>
  <c r="H61" i="2"/>
  <c r="I56" i="2"/>
  <c r="H33" i="2"/>
  <c r="I14" i="2"/>
  <c r="M24" i="2"/>
  <c r="H15" i="2"/>
  <c r="H24" i="2"/>
  <c r="I28" i="2"/>
  <c r="I23" i="2"/>
  <c r="I19" i="2"/>
  <c r="I10" i="2"/>
  <c r="I15" i="2" s="1"/>
  <c r="I32" i="2"/>
  <c r="G23" i="2"/>
  <c r="F15" i="2"/>
  <c r="G10" i="2"/>
  <c r="F24" i="2"/>
  <c r="L24" i="2"/>
  <c r="G32" i="2"/>
  <c r="G14" i="2"/>
  <c r="G28" i="2"/>
  <c r="L15" i="2"/>
  <c r="J15" i="2" s="1"/>
  <c r="G19" i="2"/>
  <c r="M15" i="2"/>
  <c r="K15" i="2" s="1"/>
  <c r="L33" i="2"/>
  <c r="J33" i="2" s="1"/>
  <c r="F33" i="2"/>
  <c r="M33" i="2"/>
  <c r="K33" i="2" s="1"/>
  <c r="O83" i="9" l="1"/>
  <c r="K83" i="9"/>
  <c r="H71" i="2"/>
  <c r="J70" i="2"/>
  <c r="G70" i="2"/>
  <c r="G71" i="2" s="1"/>
  <c r="G83" i="2" s="1"/>
  <c r="K24" i="2"/>
  <c r="M34" i="2"/>
  <c r="M83" i="2" s="1"/>
  <c r="L34" i="2"/>
  <c r="J24" i="2"/>
  <c r="I52" i="2"/>
  <c r="F34" i="2"/>
  <c r="H34" i="2"/>
  <c r="I61" i="2"/>
  <c r="I70" i="2"/>
  <c r="I33" i="2"/>
  <c r="I24" i="2"/>
  <c r="G15" i="2"/>
  <c r="G24" i="2"/>
  <c r="G33" i="2"/>
  <c r="I71" i="2" l="1"/>
  <c r="K70" i="2"/>
  <c r="H83" i="2"/>
  <c r="J71" i="2"/>
  <c r="K34" i="2"/>
  <c r="L83" i="2"/>
  <c r="J34" i="2"/>
  <c r="G34" i="2"/>
  <c r="I34" i="2"/>
  <c r="I83" i="2" l="1"/>
  <c r="K71" i="2"/>
</calcChain>
</file>

<file path=xl/sharedStrings.xml><?xml version="1.0" encoding="utf-8"?>
<sst xmlns="http://schemas.openxmlformats.org/spreadsheetml/2006/main" count="1824" uniqueCount="96">
  <si>
    <t>다. 판매실적</t>
    <phoneticPr fontId="3" type="noConversion"/>
  </si>
  <si>
    <t>(단위: 천원,매 / VAT포함)</t>
    <phoneticPr fontId="3" type="noConversion"/>
  </si>
  <si>
    <t>구 분</t>
    <phoneticPr fontId="3" type="noConversion"/>
  </si>
  <si>
    <t>판매 
단가</t>
    <phoneticPr fontId="3" type="noConversion"/>
  </si>
  <si>
    <t>전년대비
증감율</t>
    <phoneticPr fontId="3" type="noConversion"/>
  </si>
  <si>
    <t>비 고</t>
    <phoneticPr fontId="3" type="noConversion"/>
  </si>
  <si>
    <t>수량</t>
    <phoneticPr fontId="3" type="noConversion"/>
  </si>
  <si>
    <t>매출</t>
    <phoneticPr fontId="3" type="noConversion"/>
  </si>
  <si>
    <t>수 량</t>
  </si>
  <si>
    <t>매 출</t>
  </si>
  <si>
    <t>특가</t>
    <phoneticPr fontId="3" type="noConversion"/>
  </si>
  <si>
    <t>일반</t>
  </si>
  <si>
    <t>개인권</t>
    <phoneticPr fontId="3" type="noConversion"/>
  </si>
  <si>
    <t>대 인</t>
    <phoneticPr fontId="3" type="noConversion"/>
  </si>
  <si>
    <t>판매 대상 : 일반</t>
    <phoneticPr fontId="3" type="noConversion"/>
  </si>
  <si>
    <t>소 인</t>
    <phoneticPr fontId="3" type="noConversion"/>
  </si>
  <si>
    <t>소 계</t>
    <phoneticPr fontId="3" type="noConversion"/>
  </si>
  <si>
    <t>패밀리권</t>
    <phoneticPr fontId="3" type="noConversion"/>
  </si>
  <si>
    <t>3인권</t>
    <phoneticPr fontId="3" type="noConversion"/>
  </si>
  <si>
    <t>4인권</t>
    <phoneticPr fontId="3" type="noConversion"/>
  </si>
  <si>
    <t>합 계</t>
    <phoneticPr fontId="3" type="noConversion"/>
  </si>
  <si>
    <t>회원
/
제휴</t>
    <phoneticPr fontId="3" type="noConversion"/>
  </si>
  <si>
    <t>판매 대상</t>
    <phoneticPr fontId="3" type="noConversion"/>
  </si>
  <si>
    <t xml:space="preserve"> : 콘도/골프/스키</t>
    <phoneticPr fontId="3" type="noConversion"/>
  </si>
  <si>
    <t xml:space="preserve">   기명 및 법인회원</t>
    <phoneticPr fontId="3" type="noConversion"/>
  </si>
  <si>
    <t xml:space="preserve">   제휴사</t>
    <phoneticPr fontId="3" type="noConversion"/>
  </si>
  <si>
    <t>지역
주민</t>
    <phoneticPr fontId="3" type="noConversion"/>
  </si>
  <si>
    <t xml:space="preserve"> : 원주,횡성,평창</t>
    <phoneticPr fontId="3" type="noConversion"/>
  </si>
  <si>
    <t>특가 計</t>
    <phoneticPr fontId="3" type="noConversion"/>
  </si>
  <si>
    <t>일반</t>
    <phoneticPr fontId="3" type="noConversion"/>
  </si>
  <si>
    <t>프리미엄 
시즌패스</t>
    <phoneticPr fontId="3" type="noConversion"/>
  </si>
  <si>
    <t>임직원</t>
    <phoneticPr fontId="3" type="noConversion"/>
  </si>
  <si>
    <t>임직원
시즌패스</t>
    <phoneticPr fontId="3" type="noConversion"/>
  </si>
  <si>
    <t>1인권</t>
    <phoneticPr fontId="3" type="noConversion"/>
  </si>
  <si>
    <t>2인권</t>
    <phoneticPr fontId="3" type="noConversion"/>
  </si>
  <si>
    <t>가. 판매기간 : 2026년 4월 15일 ~ 5월 15일 (특가 판매)</t>
    <phoneticPr fontId="3" type="noConversion"/>
  </si>
  <si>
    <t>나. 사용기간 : 2026년 4월 18일 ~ 운영종료시까지</t>
    <phoneticPr fontId="3" type="noConversion"/>
  </si>
  <si>
    <t>커플(2인)</t>
    <phoneticPr fontId="3" type="noConversion"/>
  </si>
  <si>
    <t>5인권</t>
    <phoneticPr fontId="3" type="noConversion"/>
  </si>
  <si>
    <t>2026년
(4/15~5/15)</t>
    <phoneticPr fontId="3" type="noConversion"/>
  </si>
  <si>
    <r>
      <rPr>
        <sz val="9"/>
        <color theme="1"/>
        <rFont val="바탕"/>
        <family val="1"/>
        <charset val="129"/>
      </rPr>
      <t>註2</t>
    </r>
    <r>
      <rPr>
        <sz val="9"/>
        <color theme="1"/>
        <rFont val="나눔고딕"/>
        <charset val="129"/>
      </rPr>
      <t>) 2024년 총 판매실적(4/5~6/29) : 313매 137,960천원 인원환산시 977명</t>
    </r>
    <phoneticPr fontId="3" type="noConversion"/>
  </si>
  <si>
    <r>
      <rPr>
        <sz val="9"/>
        <color theme="1"/>
        <rFont val="바탕"/>
        <family val="1"/>
        <charset val="129"/>
      </rPr>
      <t>註3</t>
    </r>
    <r>
      <rPr>
        <sz val="9"/>
        <color theme="1"/>
        <rFont val="나눔고딕"/>
        <charset val="129"/>
      </rPr>
      <t>) 2023년 총 판매실적(5/3~8/4) : 297매 121,090천원 인원환산시 863명</t>
    </r>
    <phoneticPr fontId="3" type="noConversion"/>
  </si>
  <si>
    <r>
      <rPr>
        <sz val="9"/>
        <color theme="1"/>
        <rFont val="바탕"/>
        <family val="1"/>
        <charset val="129"/>
      </rPr>
      <t>註</t>
    </r>
    <r>
      <rPr>
        <sz val="9"/>
        <color theme="1"/>
        <rFont val="나눔고딕"/>
        <charset val="129"/>
      </rPr>
      <t>1) 2025 총 판매실적(4/24~6/30) : 361매 165,770천원 인원환산시 1,074명</t>
    </r>
    <phoneticPr fontId="3" type="noConversion"/>
  </si>
  <si>
    <t>■ 시즌패스 판매 현황 (4월15일 18:00 기준)</t>
    <phoneticPr fontId="3" type="noConversion"/>
  </si>
  <si>
    <t>2025년 총 계
(4/5~6/29)</t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</si>
  <si>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(4/15)</t>
    </r>
    <phoneticPr fontId="3" type="noConversion"/>
  </si>
  <si>
    <t>특별
권종</t>
    <phoneticPr fontId="3" type="noConversion"/>
  </si>
  <si>
    <r>
      <t xml:space="preserve">특별권종 </t>
    </r>
    <r>
      <rPr>
        <sz val="9"/>
        <color theme="1"/>
        <rFont val="바탕"/>
        <family val="1"/>
        <charset val="129"/>
      </rPr>
      <t>計</t>
    </r>
    <phoneticPr fontId="3" type="noConversion"/>
  </si>
  <si>
    <t>일반
(정상)</t>
    <phoneticPr fontId="3" type="noConversion"/>
  </si>
  <si>
    <t>일 반 計</t>
    <phoneticPr fontId="3" type="noConversion"/>
  </si>
  <si>
    <t>AK
오프
라인</t>
    <phoneticPr fontId="3" type="noConversion"/>
  </si>
  <si>
    <t>프로
모션</t>
    <phoneticPr fontId="3" type="noConversion"/>
  </si>
  <si>
    <t>대인</t>
    <phoneticPr fontId="3" type="noConversion"/>
  </si>
  <si>
    <t>소인</t>
    <phoneticPr fontId="3" type="noConversion"/>
  </si>
  <si>
    <t>프리미엄</t>
    <phoneticPr fontId="3" type="noConversion"/>
  </si>
  <si>
    <t>전체 합계</t>
    <phoneticPr fontId="3" type="noConversion"/>
  </si>
  <si>
    <t>■ 시즌패스 판매 현황 (기준)</t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</si>
  <si>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(기준)</t>
    </r>
    <phoneticPr fontId="3" type="noConversion"/>
  </si>
  <si>
    <t>프로모션 計</t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</si>
  <si>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(04/16)</t>
    </r>
    <phoneticPr fontId="3" type="noConversion"/>
  </si>
  <si>
    <t>■ 시즌패스 판매 현황 (04/16 17:00 기준)</t>
    <phoneticPr fontId="3" type="noConversion"/>
  </si>
  <si>
    <t>■ 시즌패스 판매 현황 (04/20 09:00 기준)</t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</si>
  <si>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(04/17~20)</t>
    </r>
    <phoneticPr fontId="3" type="noConversion"/>
  </si>
  <si>
    <t>■ 시즌패스 판매 현황 (04/21 09:00 기준)</t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</si>
  <si>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(04/21)</t>
    </r>
    <phoneticPr fontId="3" type="noConversion"/>
  </si>
  <si>
    <t>■ 시즌패스 판매 현황 (04/23 09:00 기준)</t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</si>
  <si>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(04/22</t>
    </r>
    <r>
      <rPr>
        <sz val="9"/>
        <color theme="1"/>
        <rFont val="Calibri"/>
        <family val="2"/>
      </rPr>
      <t>~23</t>
    </r>
    <r>
      <rPr>
        <sz val="9"/>
        <color theme="1"/>
        <rFont val="나눔고딕"/>
        <charset val="129"/>
      </rPr>
      <t>)</t>
    </r>
    <phoneticPr fontId="3" type="noConversion"/>
  </si>
  <si>
    <t>■ 시즌패스 판매 현황 (04/27 09:00 기준)</t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</si>
  <si>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(04/23</t>
    </r>
    <r>
      <rPr>
        <sz val="9"/>
        <color theme="1"/>
        <rFont val="Calibri"/>
        <family val="2"/>
      </rPr>
      <t>~27</t>
    </r>
    <r>
      <rPr>
        <sz val="9"/>
        <color theme="1"/>
        <rFont val="나눔고딕"/>
        <charset val="129"/>
      </rPr>
      <t>)</t>
    </r>
    <phoneticPr fontId="3" type="noConversion"/>
  </si>
  <si>
    <r>
      <t xml:space="preserve">동기간 </t>
    </r>
    <r>
      <rPr>
        <sz val="9"/>
        <rFont val="Gulim"/>
        <family val="3"/>
        <charset val="129"/>
      </rPr>
      <t>比
증감율</t>
    </r>
    <phoneticPr fontId="3" type="noConversion"/>
  </si>
  <si>
    <r>
      <t>2025년
(4/24~5/5) 12</t>
    </r>
    <r>
      <rPr>
        <sz val="9"/>
        <rFont val="Gulim"/>
        <family val="3"/>
        <charset val="129"/>
      </rPr>
      <t>日</t>
    </r>
    <phoneticPr fontId="3" type="noConversion"/>
  </si>
  <si>
    <t>2026년
(4/15~4/27)</t>
    <phoneticPr fontId="3" type="noConversion"/>
  </si>
  <si>
    <t>2025년 총 계
(4/24~6/30)</t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</si>
  <si>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(04/27</t>
    </r>
    <r>
      <rPr>
        <sz val="9"/>
        <color theme="1"/>
        <rFont val="Calibri"/>
        <family val="2"/>
      </rPr>
      <t>~29</t>
    </r>
    <r>
      <rPr>
        <sz val="9"/>
        <color theme="1"/>
        <rFont val="나눔고딕"/>
        <charset val="129"/>
      </rPr>
      <t>)</t>
    </r>
    <phoneticPr fontId="3" type="noConversion"/>
  </si>
  <si>
    <t>■ 시즌패스 판매 현황 (04/29 10:00 기준)</t>
    <phoneticPr fontId="3" type="noConversion"/>
  </si>
  <si>
    <r>
      <t>2025년
(4/24~5/7) 14</t>
    </r>
    <r>
      <rPr>
        <sz val="9"/>
        <rFont val="Gulim"/>
        <family val="3"/>
        <charset val="129"/>
      </rPr>
      <t>日</t>
    </r>
    <phoneticPr fontId="3" type="noConversion"/>
  </si>
  <si>
    <r>
      <t>2026년
(4/15~4/29) 15</t>
    </r>
    <r>
      <rPr>
        <sz val="9"/>
        <rFont val="Gulim"/>
        <family val="3"/>
        <charset val="129"/>
      </rPr>
      <t>日</t>
    </r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</si>
  <si>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(04/29</t>
    </r>
    <r>
      <rPr>
        <sz val="9"/>
        <color theme="1"/>
        <rFont val="Calibri"/>
        <family val="2"/>
      </rPr>
      <t>~05/01</t>
    </r>
    <r>
      <rPr>
        <sz val="9"/>
        <color theme="1"/>
        <rFont val="나눔고딕"/>
        <charset val="129"/>
      </rPr>
      <t>)</t>
    </r>
    <phoneticPr fontId="3" type="noConversion"/>
  </si>
  <si>
    <r>
      <t>2026년
(4/15~5/1) 17</t>
    </r>
    <r>
      <rPr>
        <sz val="9"/>
        <rFont val="Gulim"/>
        <family val="3"/>
        <charset val="129"/>
      </rPr>
      <t>日</t>
    </r>
    <phoneticPr fontId="3" type="noConversion"/>
  </si>
  <si>
    <r>
      <t>2025년
(4/24~5/10) 17</t>
    </r>
    <r>
      <rPr>
        <sz val="9"/>
        <rFont val="Gulim"/>
        <family val="3"/>
        <charset val="129"/>
      </rPr>
      <t>日</t>
    </r>
    <phoneticPr fontId="3" type="noConversion"/>
  </si>
  <si>
    <t>■ 시즌패스 판매 현황 (05/01 09:00 기준)</t>
    <phoneticPr fontId="3" type="noConversion"/>
  </si>
  <si>
    <t>■ 시즌패스 판매 현황 (05/02 09:00 기준)</t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</si>
  <si>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(05/01</t>
    </r>
    <r>
      <rPr>
        <sz val="9"/>
        <color theme="1"/>
        <rFont val="Calibri"/>
        <family val="2"/>
      </rPr>
      <t>~05/02</t>
    </r>
    <r>
      <rPr>
        <sz val="9"/>
        <color theme="1"/>
        <rFont val="나눔고딕"/>
        <charset val="129"/>
      </rPr>
      <t>)</t>
    </r>
    <phoneticPr fontId="3" type="noConversion"/>
  </si>
  <si>
    <r>
      <t>2026년
(4/15~5/2) 18</t>
    </r>
    <r>
      <rPr>
        <sz val="9"/>
        <rFont val="Gulim"/>
        <family val="3"/>
        <charset val="129"/>
      </rPr>
      <t>日</t>
    </r>
    <phoneticPr fontId="3" type="noConversion"/>
  </si>
  <si>
    <r>
      <rPr>
        <sz val="9"/>
        <color theme="1"/>
        <rFont val="바탕"/>
        <family val="1"/>
        <charset val="129"/>
      </rPr>
      <t>註4</t>
    </r>
    <r>
      <rPr>
        <sz val="9"/>
        <color theme="1"/>
        <rFont val="나눔고딕"/>
        <charset val="129"/>
      </rPr>
      <t>) 오프라인 프로모션 동기간 실적의 경우 2025년 5월 17일(1일차) 기준 (판매 실적: 10매/4,480천원)</t>
    </r>
    <phoneticPr fontId="3" type="noConversion"/>
  </si>
  <si>
    <t>■ 시즌패스 판매 현황 (05/04 09:00 기준)</t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</si>
  <si>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(05/03</t>
    </r>
    <r>
      <rPr>
        <sz val="9"/>
        <color theme="1"/>
        <rFont val="Calibri"/>
        <family val="2"/>
      </rPr>
      <t>~05/04</t>
    </r>
    <r>
      <rPr>
        <sz val="9"/>
        <color theme="1"/>
        <rFont val="나눔고딕"/>
        <charset val="129"/>
      </rPr>
      <t>)</t>
    </r>
    <phoneticPr fontId="3" type="noConversion"/>
  </si>
  <si>
    <r>
      <t>2026년
(4/15~5/4) 20</t>
    </r>
    <r>
      <rPr>
        <sz val="9"/>
        <rFont val="Gulim"/>
        <family val="3"/>
        <charset val="129"/>
      </rPr>
      <t>日</t>
    </r>
    <phoneticPr fontId="3" type="noConversion"/>
  </si>
  <si>
    <r>
      <t>2025년
(4/24~5/16) 23</t>
    </r>
    <r>
      <rPr>
        <sz val="9"/>
        <rFont val="Gulim"/>
        <family val="3"/>
        <charset val="129"/>
      </rPr>
      <t>日</t>
    </r>
    <phoneticPr fontId="3" type="noConversion"/>
  </si>
  <si>
    <r>
      <rPr>
        <sz val="9"/>
        <color theme="1"/>
        <rFont val="바탕"/>
        <family val="1"/>
        <charset val="129"/>
      </rPr>
      <t>註4</t>
    </r>
    <r>
      <rPr>
        <sz val="9"/>
        <color theme="1"/>
        <rFont val="나눔고딕"/>
        <charset val="129"/>
      </rPr>
      <t>) 오프라인 프로모션 동기간 실적의 경우 2025년 5월 24일(3일차) 기준 (판매 실적: 45매/19,940천원)</t>
    </r>
    <phoneticPr fontId="3" type="noConversion"/>
  </si>
  <si>
    <t>■ 시즌패스 판매 현황 (05/05 10:00 기준)</t>
    <phoneticPr fontId="3" type="noConversion"/>
  </si>
  <si>
    <r>
      <t>2026년
(4/15~5/5) 21</t>
    </r>
    <r>
      <rPr>
        <sz val="9"/>
        <rFont val="Gulim"/>
        <family val="3"/>
        <charset val="129"/>
      </rPr>
      <t>日</t>
    </r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</si>
  <si>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(05/05)</t>
    </r>
    <phoneticPr fontId="3" type="noConversion"/>
  </si>
  <si>
    <t>■ 시즌패스 판매 현황 (05/08 09:00 기준)</t>
    <phoneticPr fontId="3" type="noConversion"/>
  </si>
  <si>
    <r>
      <rPr>
        <sz val="9"/>
        <color theme="1"/>
        <rFont val="바탕"/>
        <family val="1"/>
        <charset val="129"/>
      </rPr>
      <t>日</t>
    </r>
    <r>
      <rPr>
        <sz val="9"/>
        <color theme="1"/>
        <rFont val="나눔고딕"/>
        <charset val="129"/>
      </rPr>
      <t xml:space="preserve"> 판매
(05/05</t>
    </r>
    <r>
      <rPr>
        <sz val="9"/>
        <color theme="1"/>
        <rFont val="Calibri"/>
        <family val="2"/>
      </rPr>
      <t>~08</t>
    </r>
    <r>
      <rPr>
        <sz val="9"/>
        <color theme="1"/>
        <rFont val="나눔고딕"/>
        <charset val="129"/>
      </rPr>
      <t>)</t>
    </r>
    <phoneticPr fontId="3" type="noConversion"/>
  </si>
  <si>
    <r>
      <t>2026년
(4/15~5/8 24</t>
    </r>
    <r>
      <rPr>
        <sz val="9"/>
        <rFont val="Gulim"/>
        <family val="3"/>
        <charset val="129"/>
      </rPr>
      <t>日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</si>
</sst>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0"/>
      <color rgb="FFFF0000"/>
      <name val="나눔고딕"/>
      <family val="3"/>
      <charset val="129"/>
    </font>
    <font>
      <sz val="11"/>
      <color rgb="FFFF0000"/>
      <name val="나눔고딕"/>
      <family val="3"/>
      <charset val="129"/>
    </font>
    <font>
      <sz val="11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9"/>
      <name val="나눔고딕"/>
      <family val="3"/>
      <charset val="129"/>
    </font>
    <font>
      <sz val="9"/>
      <color theme="1"/>
      <name val="바탕"/>
      <family val="1"/>
      <charset val="129"/>
    </font>
    <font>
      <sz val="9"/>
      <color theme="1"/>
      <name val="나눔고딕"/>
      <charset val="129"/>
    </font>
    <font>
      <sz val="9"/>
      <color theme="1"/>
      <name val="나눔고딕"/>
      <family val="1"/>
      <charset val="129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Gulim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Calibri"/>
      <family val="2"/>
    </font>
    <font>
      <sz val="9"/>
      <name val="Gulim"/>
      <family val="3"/>
      <charset val="129"/>
    </font>
    <font>
      <b/>
      <sz val="9"/>
      <name val="나눔고딕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9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right"/>
    </xf>
    <xf numFmtId="41" fontId="8" fillId="0" borderId="12" xfId="1" applyFont="1" applyBorder="1" applyAlignment="1">
      <alignment horizontal="center" vertical="center"/>
    </xf>
    <xf numFmtId="41" fontId="8" fillId="0" borderId="14" xfId="1" applyFont="1" applyBorder="1" applyAlignment="1">
      <alignment horizontal="center" vertical="center"/>
    </xf>
    <xf numFmtId="41" fontId="9" fillId="3" borderId="15" xfId="4" applyNumberFormat="1" applyFont="1" applyFill="1" applyBorder="1">
      <alignment vertical="center"/>
    </xf>
    <xf numFmtId="41" fontId="9" fillId="0" borderId="16" xfId="4" applyNumberFormat="1" applyFont="1" applyBorder="1">
      <alignment vertical="center"/>
    </xf>
    <xf numFmtId="176" fontId="9" fillId="0" borderId="12" xfId="2" applyNumberFormat="1" applyFont="1" applyFill="1" applyBorder="1" applyAlignment="1">
      <alignment horizontal="center" vertical="center"/>
    </xf>
    <xf numFmtId="41" fontId="9" fillId="3" borderId="20" xfId="4" applyNumberFormat="1" applyFont="1" applyFill="1" applyBorder="1">
      <alignment vertical="center"/>
    </xf>
    <xf numFmtId="41" fontId="9" fillId="0" borderId="21" xfId="4" applyNumberFormat="1" applyFont="1" applyBorder="1">
      <alignment vertical="center"/>
    </xf>
    <xf numFmtId="41" fontId="8" fillId="0" borderId="17" xfId="1" applyFont="1" applyBorder="1" applyAlignment="1">
      <alignment horizontal="center" vertical="center"/>
    </xf>
    <xf numFmtId="41" fontId="8" fillId="0" borderId="2" xfId="1" applyFont="1" applyBorder="1" applyAlignment="1">
      <alignment horizontal="center" vertical="center"/>
    </xf>
    <xf numFmtId="41" fontId="8" fillId="0" borderId="3" xfId="1" applyFont="1" applyBorder="1" applyAlignment="1">
      <alignment horizontal="center" vertical="center"/>
    </xf>
    <xf numFmtId="41" fontId="9" fillId="3" borderId="25" xfId="4" applyNumberFormat="1" applyFont="1" applyFill="1" applyBorder="1">
      <alignment vertical="center"/>
    </xf>
    <xf numFmtId="41" fontId="9" fillId="0" borderId="26" xfId="4" applyNumberFormat="1" applyFont="1" applyBorder="1">
      <alignment vertical="center"/>
    </xf>
    <xf numFmtId="41" fontId="8" fillId="3" borderId="25" xfId="0" applyNumberFormat="1" applyFont="1" applyFill="1" applyBorder="1">
      <alignment vertical="center"/>
    </xf>
    <xf numFmtId="41" fontId="8" fillId="3" borderId="26" xfId="0" applyNumberFormat="1" applyFont="1" applyFill="1" applyBorder="1">
      <alignment vertical="center"/>
    </xf>
    <xf numFmtId="176" fontId="9" fillId="0" borderId="2" xfId="2" applyNumberFormat="1" applyFont="1" applyFill="1" applyBorder="1" applyAlignment="1">
      <alignment horizontal="center" vertical="center"/>
    </xf>
    <xf numFmtId="41" fontId="8" fillId="3" borderId="20" xfId="0" applyNumberFormat="1" applyFont="1" applyFill="1" applyBorder="1">
      <alignment vertical="center"/>
    </xf>
    <xf numFmtId="41" fontId="8" fillId="3" borderId="15" xfId="0" applyNumberFormat="1" applyFont="1" applyFill="1" applyBorder="1">
      <alignment vertical="center"/>
    </xf>
    <xf numFmtId="0" fontId="8" fillId="0" borderId="18" xfId="4" applyFont="1" applyBorder="1" applyAlignment="1">
      <alignment horizontal="center" vertical="center"/>
    </xf>
    <xf numFmtId="0" fontId="8" fillId="0" borderId="24" xfId="4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8" fillId="0" borderId="0" xfId="0" applyFont="1" applyAlignment="1">
      <alignment horizontal="right"/>
    </xf>
    <xf numFmtId="41" fontId="8" fillId="3" borderId="16" xfId="0" applyNumberFormat="1" applyFont="1" applyFill="1" applyBorder="1">
      <alignment vertical="center"/>
    </xf>
    <xf numFmtId="49" fontId="9" fillId="0" borderId="5" xfId="4" applyNumberFormat="1" applyFont="1" applyBorder="1">
      <alignment vertical="center"/>
    </xf>
    <xf numFmtId="0" fontId="8" fillId="2" borderId="18" xfId="4" applyFont="1" applyFill="1" applyBorder="1" applyAlignment="1">
      <alignment horizontal="center" vertical="center" wrapText="1"/>
    </xf>
    <xf numFmtId="0" fontId="9" fillId="2" borderId="18" xfId="4" applyFont="1" applyFill="1" applyBorder="1" applyAlignment="1">
      <alignment horizontal="center" vertical="center" wrapText="1"/>
    </xf>
    <xf numFmtId="41" fontId="8" fillId="0" borderId="18" xfId="1" applyFont="1" applyBorder="1" applyAlignment="1">
      <alignment horizontal="center" vertical="center"/>
    </xf>
    <xf numFmtId="41" fontId="9" fillId="3" borderId="18" xfId="4" applyNumberFormat="1" applyFont="1" applyFill="1" applyBorder="1">
      <alignment vertical="center"/>
    </xf>
    <xf numFmtId="41" fontId="9" fillId="0" borderId="18" xfId="4" applyNumberFormat="1" applyFont="1" applyBorder="1">
      <alignment vertical="center"/>
    </xf>
    <xf numFmtId="176" fontId="9" fillId="0" borderId="18" xfId="2" applyNumberFormat="1" applyFont="1" applyFill="1" applyBorder="1" applyAlignment="1">
      <alignment horizontal="center" vertical="center"/>
    </xf>
    <xf numFmtId="49" fontId="9" fillId="0" borderId="19" xfId="4" applyNumberFormat="1" applyFont="1" applyBorder="1">
      <alignment vertical="center"/>
    </xf>
    <xf numFmtId="41" fontId="8" fillId="4" borderId="18" xfId="1" applyFont="1" applyFill="1" applyBorder="1" applyAlignment="1">
      <alignment horizontal="center" vertical="center"/>
    </xf>
    <xf numFmtId="41" fontId="9" fillId="4" borderId="18" xfId="4" applyNumberFormat="1" applyFont="1" applyFill="1" applyBorder="1">
      <alignment vertical="center"/>
    </xf>
    <xf numFmtId="41" fontId="8" fillId="5" borderId="18" xfId="0" applyNumberFormat="1" applyFont="1" applyFill="1" applyBorder="1">
      <alignment vertical="center"/>
    </xf>
    <xf numFmtId="0" fontId="8" fillId="3" borderId="18" xfId="0" applyFont="1" applyFill="1" applyBorder="1" applyAlignment="1">
      <alignment horizontal="center" vertical="center"/>
    </xf>
    <xf numFmtId="41" fontId="8" fillId="3" borderId="18" xfId="0" applyNumberFormat="1" applyFont="1" applyFill="1" applyBorder="1">
      <alignment vertical="center"/>
    </xf>
    <xf numFmtId="0" fontId="8" fillId="0" borderId="19" xfId="0" applyFont="1" applyBorder="1">
      <alignment vertical="center"/>
    </xf>
    <xf numFmtId="41" fontId="8" fillId="5" borderId="18" xfId="1" applyFont="1" applyFill="1" applyBorder="1">
      <alignment vertical="center"/>
    </xf>
    <xf numFmtId="49" fontId="8" fillId="0" borderId="19" xfId="0" applyNumberFormat="1" applyFont="1" applyBorder="1">
      <alignment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41" fontId="8" fillId="3" borderId="18" xfId="1" applyFont="1" applyFill="1" applyBorder="1">
      <alignment vertical="center"/>
    </xf>
    <xf numFmtId="0" fontId="14" fillId="0" borderId="19" xfId="0" applyFont="1" applyBorder="1">
      <alignment vertical="center"/>
    </xf>
    <xf numFmtId="0" fontId="14" fillId="0" borderId="8" xfId="0" applyFont="1" applyBorder="1">
      <alignment vertical="center"/>
    </xf>
    <xf numFmtId="0" fontId="14" fillId="0" borderId="0" xfId="0" applyFont="1">
      <alignment vertical="center"/>
    </xf>
    <xf numFmtId="0" fontId="15" fillId="3" borderId="18" xfId="0" applyFont="1" applyFill="1" applyBorder="1" applyAlignment="1">
      <alignment horizontal="center" vertical="center"/>
    </xf>
    <xf numFmtId="0" fontId="14" fillId="3" borderId="19" xfId="0" applyFont="1" applyFill="1" applyBorder="1">
      <alignment vertical="center"/>
    </xf>
    <xf numFmtId="41" fontId="8" fillId="6" borderId="18" xfId="0" applyNumberFormat="1" applyFont="1" applyFill="1" applyBorder="1">
      <alignment vertical="center"/>
    </xf>
    <xf numFmtId="41" fontId="8" fillId="6" borderId="18" xfId="1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41" fontId="8" fillId="6" borderId="18" xfId="1" applyFont="1" applyFill="1" applyBorder="1">
      <alignment vertical="center"/>
    </xf>
    <xf numFmtId="41" fontId="14" fillId="0" borderId="27" xfId="0" applyNumberFormat="1" applyFont="1" applyBorder="1">
      <alignment vertical="center"/>
    </xf>
    <xf numFmtId="41" fontId="14" fillId="0" borderId="0" xfId="0" applyNumberFormat="1" applyFont="1">
      <alignment vertical="center"/>
    </xf>
    <xf numFmtId="0" fontId="15" fillId="3" borderId="13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8" fillId="2" borderId="32" xfId="4" applyFont="1" applyFill="1" applyBorder="1" applyAlignment="1">
      <alignment horizontal="center" vertical="center" wrapText="1"/>
    </xf>
    <xf numFmtId="0" fontId="9" fillId="2" borderId="32" xfId="4" applyFont="1" applyFill="1" applyBorder="1" applyAlignment="1">
      <alignment horizontal="center" vertical="center" wrapText="1"/>
    </xf>
    <xf numFmtId="0" fontId="8" fillId="2" borderId="44" xfId="4" applyFont="1" applyFill="1" applyBorder="1" applyAlignment="1">
      <alignment horizontal="center" vertical="center" wrapText="1"/>
    </xf>
    <xf numFmtId="41" fontId="8" fillId="8" borderId="7" xfId="1" applyFont="1" applyFill="1" applyBorder="1" applyAlignment="1">
      <alignment horizontal="center" vertical="center"/>
    </xf>
    <xf numFmtId="41" fontId="8" fillId="8" borderId="17" xfId="1" applyFont="1" applyFill="1" applyBorder="1" applyAlignment="1">
      <alignment horizontal="center" vertical="center"/>
    </xf>
    <xf numFmtId="41" fontId="9" fillId="9" borderId="7" xfId="4" applyNumberFormat="1" applyFont="1" applyFill="1" applyBorder="1">
      <alignment vertical="center"/>
    </xf>
    <xf numFmtId="41" fontId="8" fillId="0" borderId="4" xfId="1" applyFont="1" applyBorder="1" applyAlignment="1">
      <alignment horizontal="center" vertical="center"/>
    </xf>
    <xf numFmtId="41" fontId="8" fillId="0" borderId="47" xfId="1" applyFont="1" applyBorder="1" applyAlignment="1">
      <alignment horizontal="center" vertical="center"/>
    </xf>
    <xf numFmtId="41" fontId="8" fillId="0" borderId="48" xfId="1" applyFont="1" applyBorder="1" applyAlignment="1">
      <alignment horizontal="center" vertical="center"/>
    </xf>
    <xf numFmtId="41" fontId="9" fillId="3" borderId="2" xfId="4" applyNumberFormat="1" applyFont="1" applyFill="1" applyBorder="1">
      <alignment vertical="center"/>
    </xf>
    <xf numFmtId="41" fontId="9" fillId="3" borderId="17" xfId="4" applyNumberFormat="1" applyFont="1" applyFill="1" applyBorder="1">
      <alignment vertical="center"/>
    </xf>
    <xf numFmtId="41" fontId="9" fillId="3" borderId="12" xfId="4" applyNumberFormat="1" applyFont="1" applyFill="1" applyBorder="1">
      <alignment vertical="center"/>
    </xf>
    <xf numFmtId="41" fontId="8" fillId="8" borderId="11" xfId="1" applyFont="1" applyFill="1" applyBorder="1" applyAlignment="1">
      <alignment horizontal="center" vertical="center"/>
    </xf>
    <xf numFmtId="41" fontId="8" fillId="8" borderId="47" xfId="1" applyFont="1" applyFill="1" applyBorder="1" applyAlignment="1">
      <alignment horizontal="center" vertical="center"/>
    </xf>
    <xf numFmtId="41" fontId="9" fillId="9" borderId="11" xfId="4" applyNumberFormat="1" applyFont="1" applyFill="1" applyBorder="1">
      <alignment vertical="center"/>
    </xf>
    <xf numFmtId="176" fontId="9" fillId="0" borderId="17" xfId="2" applyNumberFormat="1" applyFont="1" applyFill="1" applyBorder="1" applyAlignment="1">
      <alignment horizontal="center" vertical="center"/>
    </xf>
    <xf numFmtId="176" fontId="9" fillId="8" borderId="7" xfId="2" applyNumberFormat="1" applyFont="1" applyFill="1" applyBorder="1" applyAlignment="1">
      <alignment horizontal="center" vertical="center"/>
    </xf>
    <xf numFmtId="176" fontId="9" fillId="8" borderId="17" xfId="2" applyNumberFormat="1" applyFont="1" applyFill="1" applyBorder="1" applyAlignment="1">
      <alignment horizontal="center" vertical="center"/>
    </xf>
    <xf numFmtId="176" fontId="9" fillId="9" borderId="7" xfId="2" applyNumberFormat="1" applyFont="1" applyFill="1" applyBorder="1" applyAlignment="1">
      <alignment horizontal="center" vertical="center"/>
    </xf>
    <xf numFmtId="41" fontId="9" fillId="0" borderId="4" xfId="4" applyNumberFormat="1" applyFont="1" applyBorder="1">
      <alignment vertical="center"/>
    </xf>
    <xf numFmtId="41" fontId="9" fillId="0" borderId="47" xfId="4" applyNumberFormat="1" applyFont="1" applyBorder="1">
      <alignment vertical="center"/>
    </xf>
    <xf numFmtId="41" fontId="9" fillId="0" borderId="48" xfId="4" applyNumberFormat="1" applyFont="1" applyBorder="1">
      <alignment vertical="center"/>
    </xf>
    <xf numFmtId="41" fontId="9" fillId="0" borderId="2" xfId="4" applyNumberFormat="1" applyFont="1" applyBorder="1">
      <alignment vertical="center"/>
    </xf>
    <xf numFmtId="41" fontId="9" fillId="0" borderId="17" xfId="4" applyNumberFormat="1" applyFont="1" applyBorder="1">
      <alignment vertical="center"/>
    </xf>
    <xf numFmtId="41" fontId="9" fillId="0" borderId="12" xfId="4" applyNumberFormat="1" applyFont="1" applyBorder="1">
      <alignment vertical="center"/>
    </xf>
    <xf numFmtId="176" fontId="9" fillId="0" borderId="4" xfId="2" applyNumberFormat="1" applyFont="1" applyFill="1" applyBorder="1" applyAlignment="1">
      <alignment horizontal="center" vertical="center"/>
    </xf>
    <xf numFmtId="176" fontId="9" fillId="0" borderId="47" xfId="2" applyNumberFormat="1" applyFont="1" applyFill="1" applyBorder="1" applyAlignment="1">
      <alignment horizontal="center" vertical="center"/>
    </xf>
    <xf numFmtId="176" fontId="9" fillId="8" borderId="11" xfId="2" applyNumberFormat="1" applyFont="1" applyFill="1" applyBorder="1" applyAlignment="1">
      <alignment horizontal="center" vertical="center"/>
    </xf>
    <xf numFmtId="176" fontId="9" fillId="0" borderId="48" xfId="2" applyNumberFormat="1" applyFont="1" applyFill="1" applyBorder="1" applyAlignment="1">
      <alignment horizontal="center" vertical="center"/>
    </xf>
    <xf numFmtId="176" fontId="9" fillId="8" borderId="47" xfId="2" applyNumberFormat="1" applyFont="1" applyFill="1" applyBorder="1" applyAlignment="1">
      <alignment horizontal="center" vertical="center"/>
    </xf>
    <xf numFmtId="176" fontId="9" fillId="9" borderId="11" xfId="2" applyNumberFormat="1" applyFont="1" applyFill="1" applyBorder="1" applyAlignment="1">
      <alignment horizontal="center" vertical="center"/>
    </xf>
    <xf numFmtId="49" fontId="9" fillId="0" borderId="36" xfId="4" applyNumberFormat="1" applyFont="1" applyBorder="1">
      <alignment vertical="center"/>
    </xf>
    <xf numFmtId="49" fontId="9" fillId="0" borderId="22" xfId="4" applyNumberFormat="1" applyFont="1" applyBorder="1">
      <alignment vertical="center"/>
    </xf>
    <xf numFmtId="49" fontId="9" fillId="0" borderId="40" xfId="4" applyNumberFormat="1" applyFont="1" applyBorder="1">
      <alignment vertical="center"/>
    </xf>
    <xf numFmtId="49" fontId="9" fillId="0" borderId="37" xfId="4" applyNumberFormat="1" applyFont="1" applyBorder="1">
      <alignment vertical="center"/>
    </xf>
    <xf numFmtId="41" fontId="8" fillId="7" borderId="32" xfId="0" applyNumberFormat="1" applyFont="1" applyFill="1" applyBorder="1">
      <alignment vertical="center"/>
    </xf>
    <xf numFmtId="41" fontId="8" fillId="3" borderId="2" xfId="0" applyNumberFormat="1" applyFont="1" applyFill="1" applyBorder="1">
      <alignment vertical="center"/>
    </xf>
    <xf numFmtId="41" fontId="8" fillId="8" borderId="7" xfId="0" applyNumberFormat="1" applyFont="1" applyFill="1" applyBorder="1">
      <alignment vertical="center"/>
    </xf>
    <xf numFmtId="41" fontId="8" fillId="3" borderId="12" xfId="0" applyNumberFormat="1" applyFont="1" applyFill="1" applyBorder="1">
      <alignment vertical="center"/>
    </xf>
    <xf numFmtId="41" fontId="8" fillId="3" borderId="17" xfId="0" applyNumberFormat="1" applyFont="1" applyFill="1" applyBorder="1">
      <alignment vertical="center"/>
    </xf>
    <xf numFmtId="41" fontId="9" fillId="9" borderId="32" xfId="4" applyNumberFormat="1" applyFont="1" applyFill="1" applyBorder="1">
      <alignment vertical="center"/>
    </xf>
    <xf numFmtId="41" fontId="14" fillId="7" borderId="32" xfId="0" applyNumberFormat="1" applyFont="1" applyFill="1" applyBorder="1">
      <alignment vertical="center"/>
    </xf>
    <xf numFmtId="41" fontId="8" fillId="3" borderId="4" xfId="1" applyFont="1" applyFill="1" applyBorder="1">
      <alignment vertical="center"/>
    </xf>
    <xf numFmtId="41" fontId="8" fillId="8" borderId="11" xfId="1" applyFont="1" applyFill="1" applyBorder="1">
      <alignment vertical="center"/>
    </xf>
    <xf numFmtId="41" fontId="8" fillId="3" borderId="48" xfId="1" applyFont="1" applyFill="1" applyBorder="1">
      <alignment vertical="center"/>
    </xf>
    <xf numFmtId="41" fontId="8" fillId="3" borderId="47" xfId="1" applyFont="1" applyFill="1" applyBorder="1">
      <alignment vertical="center"/>
    </xf>
    <xf numFmtId="41" fontId="8" fillId="7" borderId="44" xfId="1" applyFont="1" applyFill="1" applyBorder="1">
      <alignment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horizontal="center" vertical="center"/>
    </xf>
    <xf numFmtId="0" fontId="15" fillId="3" borderId="48" xfId="0" applyFont="1" applyFill="1" applyBorder="1" applyAlignment="1">
      <alignment horizontal="center" vertical="center"/>
    </xf>
    <xf numFmtId="41" fontId="8" fillId="7" borderId="30" xfId="0" applyNumberFormat="1" applyFont="1" applyFill="1" applyBorder="1">
      <alignment vertical="center"/>
    </xf>
    <xf numFmtId="41" fontId="8" fillId="7" borderId="43" xfId="0" applyNumberFormat="1" applyFont="1" applyFill="1" applyBorder="1">
      <alignment vertical="center"/>
    </xf>
    <xf numFmtId="41" fontId="8" fillId="3" borderId="4" xfId="0" applyNumberFormat="1" applyFont="1" applyFill="1" applyBorder="1">
      <alignment vertical="center"/>
    </xf>
    <xf numFmtId="41" fontId="8" fillId="8" borderId="11" xfId="0" applyNumberFormat="1" applyFont="1" applyFill="1" applyBorder="1">
      <alignment vertical="center"/>
    </xf>
    <xf numFmtId="41" fontId="8" fillId="3" borderId="48" xfId="0" applyNumberFormat="1" applyFont="1" applyFill="1" applyBorder="1">
      <alignment vertical="center"/>
    </xf>
    <xf numFmtId="41" fontId="8" fillId="3" borderId="47" xfId="0" applyNumberFormat="1" applyFont="1" applyFill="1" applyBorder="1">
      <alignment vertical="center"/>
    </xf>
    <xf numFmtId="41" fontId="8" fillId="7" borderId="44" xfId="0" applyNumberFormat="1" applyFont="1" applyFill="1" applyBorder="1">
      <alignment vertical="center"/>
    </xf>
    <xf numFmtId="41" fontId="9" fillId="9" borderId="44" xfId="4" applyNumberFormat="1" applyFont="1" applyFill="1" applyBorder="1">
      <alignment vertical="center"/>
    </xf>
    <xf numFmtId="41" fontId="14" fillId="7" borderId="44" xfId="0" applyNumberFormat="1" applyFont="1" applyFill="1" applyBorder="1">
      <alignment vertical="center"/>
    </xf>
    <xf numFmtId="176" fontId="9" fillId="7" borderId="32" xfId="2" applyNumberFormat="1" applyFont="1" applyFill="1" applyBorder="1" applyAlignment="1">
      <alignment horizontal="center" vertical="center"/>
    </xf>
    <xf numFmtId="176" fontId="9" fillId="9" borderId="32" xfId="2" applyNumberFormat="1" applyFont="1" applyFill="1" applyBorder="1" applyAlignment="1">
      <alignment horizontal="center" vertical="center"/>
    </xf>
    <xf numFmtId="176" fontId="9" fillId="7" borderId="30" xfId="2" applyNumberFormat="1" applyFont="1" applyFill="1" applyBorder="1" applyAlignment="1">
      <alignment horizontal="center" vertical="center"/>
    </xf>
    <xf numFmtId="176" fontId="9" fillId="7" borderId="43" xfId="2" applyNumberFormat="1" applyFont="1" applyFill="1" applyBorder="1" applyAlignment="1">
      <alignment horizontal="center" vertical="center"/>
    </xf>
    <xf numFmtId="176" fontId="9" fillId="7" borderId="44" xfId="2" applyNumberFormat="1" applyFont="1" applyFill="1" applyBorder="1" applyAlignment="1">
      <alignment horizontal="center" vertical="center"/>
    </xf>
    <xf numFmtId="176" fontId="9" fillId="9" borderId="44" xfId="2" applyNumberFormat="1" applyFont="1" applyFill="1" applyBorder="1" applyAlignment="1">
      <alignment horizontal="center" vertical="center"/>
    </xf>
    <xf numFmtId="0" fontId="8" fillId="0" borderId="36" xfId="0" applyFont="1" applyBorder="1">
      <alignment vertical="center"/>
    </xf>
    <xf numFmtId="0" fontId="8" fillId="0" borderId="40" xfId="0" applyFont="1" applyBorder="1">
      <alignment vertical="center"/>
    </xf>
    <xf numFmtId="0" fontId="8" fillId="0" borderId="37" xfId="0" applyFont="1" applyBorder="1">
      <alignment vertical="center"/>
    </xf>
    <xf numFmtId="0" fontId="8" fillId="0" borderId="22" xfId="0" applyFont="1" applyBorder="1">
      <alignment vertical="center"/>
    </xf>
    <xf numFmtId="0" fontId="8" fillId="0" borderId="5" xfId="0" applyFont="1" applyBorder="1">
      <alignment vertical="center"/>
    </xf>
    <xf numFmtId="49" fontId="8" fillId="0" borderId="36" xfId="0" applyNumberFormat="1" applyFont="1" applyBorder="1">
      <alignment vertical="center"/>
    </xf>
    <xf numFmtId="49" fontId="8" fillId="0" borderId="22" xfId="0" applyNumberFormat="1" applyFont="1" applyBorder="1">
      <alignment vertical="center"/>
    </xf>
    <xf numFmtId="0" fontId="14" fillId="0" borderId="37" xfId="0" applyFont="1" applyBorder="1">
      <alignment vertical="center"/>
    </xf>
    <xf numFmtId="0" fontId="14" fillId="0" borderId="22" xfId="0" applyFont="1" applyBorder="1">
      <alignment vertical="center"/>
    </xf>
    <xf numFmtId="0" fontId="14" fillId="0" borderId="40" xfId="0" applyFont="1" applyBorder="1">
      <alignment vertical="center"/>
    </xf>
    <xf numFmtId="0" fontId="14" fillId="0" borderId="5" xfId="0" applyFont="1" applyBorder="1">
      <alignment vertical="center"/>
    </xf>
    <xf numFmtId="0" fontId="14" fillId="3" borderId="36" xfId="0" applyFont="1" applyFill="1" applyBorder="1">
      <alignment vertical="center"/>
    </xf>
    <xf numFmtId="0" fontId="14" fillId="3" borderId="22" xfId="0" applyFont="1" applyFill="1" applyBorder="1">
      <alignment vertical="center"/>
    </xf>
    <xf numFmtId="0" fontId="14" fillId="3" borderId="40" xfId="0" applyFont="1" applyFill="1" applyBorder="1">
      <alignment vertical="center"/>
    </xf>
    <xf numFmtId="0" fontId="14" fillId="3" borderId="37" xfId="0" applyFont="1" applyFill="1" applyBorder="1">
      <alignment vertical="center"/>
    </xf>
    <xf numFmtId="41" fontId="16" fillId="10" borderId="49" xfId="0" applyNumberFormat="1" applyFont="1" applyFill="1" applyBorder="1">
      <alignment vertical="center"/>
    </xf>
    <xf numFmtId="41" fontId="16" fillId="10" borderId="29" xfId="0" applyNumberFormat="1" applyFont="1" applyFill="1" applyBorder="1">
      <alignment vertical="center"/>
    </xf>
    <xf numFmtId="0" fontId="16" fillId="10" borderId="49" xfId="0" applyFont="1" applyFill="1" applyBorder="1">
      <alignment vertical="center"/>
    </xf>
    <xf numFmtId="0" fontId="16" fillId="10" borderId="29" xfId="0" applyFont="1" applyFill="1" applyBorder="1">
      <alignment vertical="center"/>
    </xf>
    <xf numFmtId="41" fontId="16" fillId="10" borderId="28" xfId="0" applyNumberFormat="1" applyFont="1" applyFill="1" applyBorder="1">
      <alignment vertical="center"/>
    </xf>
    <xf numFmtId="0" fontId="16" fillId="0" borderId="28" xfId="0" applyFont="1" applyBorder="1">
      <alignment vertical="center"/>
    </xf>
    <xf numFmtId="176" fontId="16" fillId="10" borderId="29" xfId="2" applyNumberFormat="1" applyFont="1" applyFill="1" applyBorder="1">
      <alignment vertical="center"/>
    </xf>
    <xf numFmtId="0" fontId="8" fillId="2" borderId="33" xfId="4" applyFont="1" applyFill="1" applyBorder="1" applyAlignment="1">
      <alignment horizontal="center" vertical="center" wrapText="1"/>
    </xf>
    <xf numFmtId="41" fontId="8" fillId="0" borderId="19" xfId="1" applyFont="1" applyBorder="1" applyAlignment="1">
      <alignment horizontal="center" vertical="center"/>
    </xf>
    <xf numFmtId="41" fontId="8" fillId="8" borderId="8" xfId="1" applyFont="1" applyFill="1" applyBorder="1" applyAlignment="1">
      <alignment horizontal="center" vertical="center"/>
    </xf>
    <xf numFmtId="41" fontId="8" fillId="8" borderId="19" xfId="1" applyFont="1" applyFill="1" applyBorder="1" applyAlignment="1">
      <alignment horizontal="center" vertical="center"/>
    </xf>
    <xf numFmtId="41" fontId="9" fillId="9" borderId="8" xfId="4" applyNumberFormat="1" applyFont="1" applyFill="1" applyBorder="1">
      <alignment vertical="center"/>
    </xf>
    <xf numFmtId="41" fontId="8" fillId="3" borderId="3" xfId="0" applyNumberFormat="1" applyFont="1" applyFill="1" applyBorder="1">
      <alignment vertical="center"/>
    </xf>
    <xf numFmtId="41" fontId="8" fillId="8" borderId="8" xfId="0" applyNumberFormat="1" applyFont="1" applyFill="1" applyBorder="1">
      <alignment vertical="center"/>
    </xf>
    <xf numFmtId="41" fontId="8" fillId="3" borderId="14" xfId="0" applyNumberFormat="1" applyFont="1" applyFill="1" applyBorder="1">
      <alignment vertical="center"/>
    </xf>
    <xf numFmtId="41" fontId="8" fillId="3" borderId="19" xfId="0" applyNumberFormat="1" applyFont="1" applyFill="1" applyBorder="1">
      <alignment vertical="center"/>
    </xf>
    <xf numFmtId="41" fontId="8" fillId="7" borderId="33" xfId="0" applyNumberFormat="1" applyFont="1" applyFill="1" applyBorder="1">
      <alignment vertical="center"/>
    </xf>
    <xf numFmtId="41" fontId="9" fillId="9" borderId="33" xfId="4" applyNumberFormat="1" applyFont="1" applyFill="1" applyBorder="1">
      <alignment vertical="center"/>
    </xf>
    <xf numFmtId="41" fontId="14" fillId="7" borderId="33" xfId="0" applyNumberFormat="1" applyFont="1" applyFill="1" applyBorder="1">
      <alignment vertical="center"/>
    </xf>
    <xf numFmtId="176" fontId="16" fillId="10" borderId="30" xfId="2" applyNumberFormat="1" applyFont="1" applyFill="1" applyBorder="1">
      <alignment vertical="center"/>
    </xf>
    <xf numFmtId="0" fontId="9" fillId="2" borderId="34" xfId="4" applyFont="1" applyFill="1" applyBorder="1" applyAlignment="1">
      <alignment horizontal="center" vertical="center" wrapText="1"/>
    </xf>
    <xf numFmtId="0" fontId="8" fillId="2" borderId="35" xfId="4" applyFont="1" applyFill="1" applyBorder="1" applyAlignment="1">
      <alignment horizontal="center" vertical="center" wrapText="1"/>
    </xf>
    <xf numFmtId="41" fontId="8" fillId="8" borderId="9" xfId="1" applyFont="1" applyFill="1" applyBorder="1" applyAlignment="1">
      <alignment horizontal="center" vertical="center"/>
    </xf>
    <xf numFmtId="41" fontId="8" fillId="8" borderId="10" xfId="1" applyFont="1" applyFill="1" applyBorder="1" applyAlignment="1">
      <alignment horizontal="center" vertical="center"/>
    </xf>
    <xf numFmtId="41" fontId="8" fillId="8" borderId="20" xfId="1" applyFont="1" applyFill="1" applyBorder="1" applyAlignment="1">
      <alignment horizontal="center" vertical="center"/>
    </xf>
    <xf numFmtId="41" fontId="8" fillId="8" borderId="21" xfId="1" applyFont="1" applyFill="1" applyBorder="1" applyAlignment="1">
      <alignment horizontal="center" vertical="center"/>
    </xf>
    <xf numFmtId="41" fontId="9" fillId="9" borderId="9" xfId="4" applyNumberFormat="1" applyFont="1" applyFill="1" applyBorder="1">
      <alignment vertical="center"/>
    </xf>
    <xf numFmtId="41" fontId="9" fillId="9" borderId="10" xfId="4" applyNumberFormat="1" applyFont="1" applyFill="1" applyBorder="1">
      <alignment vertical="center"/>
    </xf>
    <xf numFmtId="41" fontId="8" fillId="8" borderId="9" xfId="0" applyNumberFormat="1" applyFont="1" applyFill="1" applyBorder="1">
      <alignment vertical="center"/>
    </xf>
    <xf numFmtId="41" fontId="8" fillId="8" borderId="10" xfId="0" applyNumberFormat="1" applyFont="1" applyFill="1" applyBorder="1">
      <alignment vertical="center"/>
    </xf>
    <xf numFmtId="41" fontId="8" fillId="3" borderId="21" xfId="0" applyNumberFormat="1" applyFont="1" applyFill="1" applyBorder="1">
      <alignment vertical="center"/>
    </xf>
    <xf numFmtId="41" fontId="8" fillId="7" borderId="34" xfId="0" applyNumberFormat="1" applyFont="1" applyFill="1" applyBorder="1">
      <alignment vertical="center"/>
    </xf>
    <xf numFmtId="41" fontId="8" fillId="7" borderId="35" xfId="0" applyNumberFormat="1" applyFont="1" applyFill="1" applyBorder="1">
      <alignment vertical="center"/>
    </xf>
    <xf numFmtId="41" fontId="9" fillId="9" borderId="34" xfId="4" applyNumberFormat="1" applyFont="1" applyFill="1" applyBorder="1">
      <alignment vertical="center"/>
    </xf>
    <xf numFmtId="41" fontId="9" fillId="9" borderId="35" xfId="4" applyNumberFormat="1" applyFont="1" applyFill="1" applyBorder="1">
      <alignment vertical="center"/>
    </xf>
    <xf numFmtId="41" fontId="14" fillId="7" borderId="34" xfId="0" applyNumberFormat="1" applyFont="1" applyFill="1" applyBorder="1">
      <alignment vertical="center"/>
    </xf>
    <xf numFmtId="41" fontId="14" fillId="7" borderId="35" xfId="0" applyNumberFormat="1" applyFont="1" applyFill="1" applyBorder="1">
      <alignment vertical="center"/>
    </xf>
    <xf numFmtId="41" fontId="16" fillId="10" borderId="38" xfId="0" applyNumberFormat="1" applyFont="1" applyFill="1" applyBorder="1">
      <alignment vertical="center"/>
    </xf>
    <xf numFmtId="41" fontId="16" fillId="10" borderId="52" xfId="0" applyNumberFormat="1" applyFont="1" applyFill="1" applyBorder="1">
      <alignment vertical="center"/>
    </xf>
    <xf numFmtId="41" fontId="9" fillId="0" borderId="3" xfId="4" applyNumberFormat="1" applyFont="1" applyBorder="1">
      <alignment vertical="center"/>
    </xf>
    <xf numFmtId="41" fontId="9" fillId="0" borderId="19" xfId="4" applyNumberFormat="1" applyFont="1" applyBorder="1">
      <alignment vertical="center"/>
    </xf>
    <xf numFmtId="41" fontId="9" fillId="0" borderId="14" xfId="4" applyNumberFormat="1" applyFont="1" applyBorder="1">
      <alignment vertical="center"/>
    </xf>
    <xf numFmtId="49" fontId="9" fillId="0" borderId="53" xfId="4" applyNumberFormat="1" applyFont="1" applyBorder="1">
      <alignment vertical="center"/>
    </xf>
    <xf numFmtId="49" fontId="9" fillId="0" borderId="54" xfId="4" applyNumberFormat="1" applyFont="1" applyBorder="1">
      <alignment vertical="center"/>
    </xf>
    <xf numFmtId="0" fontId="8" fillId="0" borderId="54" xfId="0" applyFont="1" applyBorder="1">
      <alignment vertical="center"/>
    </xf>
    <xf numFmtId="49" fontId="8" fillId="0" borderId="54" xfId="0" applyNumberFormat="1" applyFont="1" applyBorder="1">
      <alignment vertical="center"/>
    </xf>
    <xf numFmtId="0" fontId="14" fillId="0" borderId="54" xfId="0" applyFont="1" applyBorder="1">
      <alignment vertical="center"/>
    </xf>
    <xf numFmtId="0" fontId="14" fillId="3" borderId="54" xfId="0" applyFont="1" applyFill="1" applyBorder="1">
      <alignment vertical="center"/>
    </xf>
    <xf numFmtId="0" fontId="16" fillId="0" borderId="55" xfId="0" applyFont="1" applyBorder="1">
      <alignment vertical="center"/>
    </xf>
    <xf numFmtId="49" fontId="9" fillId="0" borderId="55" xfId="4" applyNumberFormat="1" applyFont="1" applyBorder="1">
      <alignment vertical="center"/>
    </xf>
    <xf numFmtId="0" fontId="8" fillId="0" borderId="55" xfId="0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2" borderId="5" xfId="4" applyFont="1" applyFill="1" applyBorder="1" applyAlignment="1">
      <alignment horizontal="center" vertical="center" wrapText="1"/>
    </xf>
    <xf numFmtId="176" fontId="9" fillId="0" borderId="17" xfId="2" applyNumberFormat="1" applyFont="1" applyBorder="1">
      <alignment vertical="center"/>
    </xf>
    <xf numFmtId="176" fontId="9" fillId="0" borderId="47" xfId="2" applyNumberFormat="1" applyFont="1" applyBorder="1">
      <alignment vertical="center"/>
    </xf>
    <xf numFmtId="176" fontId="9" fillId="0" borderId="12" xfId="2" applyNumberFormat="1" applyFont="1" applyBorder="1">
      <alignment vertical="center"/>
    </xf>
    <xf numFmtId="176" fontId="9" fillId="0" borderId="48" xfId="2" applyNumberFormat="1" applyFont="1" applyBorder="1">
      <alignment vertical="center"/>
    </xf>
    <xf numFmtId="41" fontId="16" fillId="11" borderId="32" xfId="0" applyNumberFormat="1" applyFont="1" applyFill="1" applyBorder="1">
      <alignment vertical="center"/>
    </xf>
    <xf numFmtId="41" fontId="16" fillId="11" borderId="44" xfId="0" applyNumberFormat="1" applyFont="1" applyFill="1" applyBorder="1">
      <alignment vertical="center"/>
    </xf>
    <xf numFmtId="176" fontId="19" fillId="11" borderId="32" xfId="2" applyNumberFormat="1" applyFont="1" applyFill="1" applyBorder="1">
      <alignment vertical="center"/>
    </xf>
    <xf numFmtId="176" fontId="19" fillId="11" borderId="44" xfId="2" applyNumberFormat="1" applyFont="1" applyFill="1" applyBorder="1">
      <alignment vertical="center"/>
    </xf>
    <xf numFmtId="176" fontId="16" fillId="11" borderId="32" xfId="2" applyNumberFormat="1" applyFont="1" applyFill="1" applyBorder="1">
      <alignment vertical="center"/>
    </xf>
    <xf numFmtId="176" fontId="16" fillId="11" borderId="44" xfId="2" applyNumberFormat="1" applyFont="1" applyFill="1" applyBorder="1">
      <alignment vertical="center"/>
    </xf>
    <xf numFmtId="176" fontId="9" fillId="0" borderId="2" xfId="2" applyNumberFormat="1" applyFont="1" applyBorder="1">
      <alignment vertical="center"/>
    </xf>
    <xf numFmtId="176" fontId="9" fillId="0" borderId="4" xfId="2" applyNumberFormat="1" applyFont="1" applyBorder="1">
      <alignment vertical="center"/>
    </xf>
    <xf numFmtId="176" fontId="9" fillId="7" borderId="32" xfId="2" applyNumberFormat="1" applyFont="1" applyFill="1" applyBorder="1">
      <alignment vertical="center"/>
    </xf>
    <xf numFmtId="176" fontId="9" fillId="7" borderId="44" xfId="2" applyNumberFormat="1" applyFont="1" applyFill="1" applyBorder="1">
      <alignment vertical="center"/>
    </xf>
    <xf numFmtId="176" fontId="9" fillId="8" borderId="7" xfId="2" applyNumberFormat="1" applyFont="1" applyFill="1" applyBorder="1">
      <alignment vertical="center"/>
    </xf>
    <xf numFmtId="176" fontId="9" fillId="8" borderId="11" xfId="2" applyNumberFormat="1" applyFont="1" applyFill="1" applyBorder="1">
      <alignment vertical="center"/>
    </xf>
    <xf numFmtId="176" fontId="9" fillId="9" borderId="32" xfId="2" applyNumberFormat="1" applyFont="1" applyFill="1" applyBorder="1">
      <alignment vertical="center"/>
    </xf>
    <xf numFmtId="176" fontId="9" fillId="9" borderId="44" xfId="2" applyNumberFormat="1" applyFont="1" applyFill="1" applyBorder="1">
      <alignment vertical="center"/>
    </xf>
    <xf numFmtId="0" fontId="8" fillId="0" borderId="2" xfId="4" applyFont="1" applyBorder="1" applyAlignment="1">
      <alignment horizontal="center" vertical="center"/>
    </xf>
    <xf numFmtId="0" fontId="8" fillId="0" borderId="17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8" fillId="2" borderId="60" xfId="4" applyFont="1" applyFill="1" applyBorder="1" applyAlignment="1">
      <alignment horizontal="center" vertical="center" wrapText="1"/>
    </xf>
    <xf numFmtId="0" fontId="8" fillId="2" borderId="6" xfId="4" applyFont="1" applyFill="1" applyBorder="1" applyAlignment="1">
      <alignment horizontal="center" vertical="center" wrapText="1"/>
    </xf>
    <xf numFmtId="0" fontId="9" fillId="2" borderId="60" xfId="4" applyFont="1" applyFill="1" applyBorder="1" applyAlignment="1">
      <alignment horizontal="center" vertical="center" wrapText="1"/>
    </xf>
    <xf numFmtId="41" fontId="16" fillId="11" borderId="33" xfId="0" applyNumberFormat="1" applyFont="1" applyFill="1" applyBorder="1">
      <alignment vertical="center"/>
    </xf>
    <xf numFmtId="0" fontId="9" fillId="2" borderId="6" xfId="4" applyFont="1" applyFill="1" applyBorder="1" applyAlignment="1">
      <alignment horizontal="center" vertical="center" wrapText="1"/>
    </xf>
    <xf numFmtId="0" fontId="9" fillId="2" borderId="61" xfId="4" applyFont="1" applyFill="1" applyBorder="1" applyAlignment="1">
      <alignment horizontal="center" vertical="center" wrapText="1"/>
    </xf>
    <xf numFmtId="0" fontId="8" fillId="2" borderId="62" xfId="4" applyFont="1" applyFill="1" applyBorder="1" applyAlignment="1">
      <alignment horizontal="center" vertical="center" wrapText="1"/>
    </xf>
    <xf numFmtId="41" fontId="16" fillId="11" borderId="63" xfId="0" applyNumberFormat="1" applyFont="1" applyFill="1" applyBorder="1">
      <alignment vertical="center"/>
    </xf>
    <xf numFmtId="41" fontId="16" fillId="11" borderId="64" xfId="0" applyNumberFormat="1" applyFont="1" applyFill="1" applyBorder="1">
      <alignment vertical="center"/>
    </xf>
    <xf numFmtId="0" fontId="14" fillId="3" borderId="53" xfId="0" applyFont="1" applyFill="1" applyBorder="1">
      <alignment vertical="center"/>
    </xf>
    <xf numFmtId="0" fontId="16" fillId="0" borderId="65" xfId="0" applyFont="1" applyBorder="1">
      <alignment vertical="center"/>
    </xf>
    <xf numFmtId="0" fontId="14" fillId="7" borderId="30" xfId="0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/>
    </xf>
    <xf numFmtId="0" fontId="14" fillId="7" borderId="43" xfId="0" applyFont="1" applyFill="1" applyBorder="1" applyAlignment="1">
      <alignment horizontal="center" vertical="center"/>
    </xf>
    <xf numFmtId="0" fontId="16" fillId="11" borderId="32" xfId="0" applyFont="1" applyFill="1" applyBorder="1" applyAlignment="1">
      <alignment horizontal="center" vertical="center"/>
    </xf>
    <xf numFmtId="0" fontId="16" fillId="11" borderId="31" xfId="0" applyFont="1" applyFill="1" applyBorder="1" applyAlignment="1">
      <alignment horizontal="center" vertical="center"/>
    </xf>
    <xf numFmtId="0" fontId="16" fillId="11" borderId="44" xfId="0" applyFont="1" applyFill="1" applyBorder="1" applyAlignment="1">
      <alignment horizontal="center" vertical="center"/>
    </xf>
    <xf numFmtId="0" fontId="15" fillId="7" borderId="32" xfId="0" applyFont="1" applyFill="1" applyBorder="1" applyAlignment="1">
      <alignment horizontal="center" vertical="center"/>
    </xf>
    <xf numFmtId="0" fontId="15" fillId="7" borderId="31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horizontal="center" vertical="center"/>
    </xf>
    <xf numFmtId="0" fontId="15" fillId="3" borderId="42" xfId="0" applyFont="1" applyFill="1" applyBorder="1" applyAlignment="1">
      <alignment horizontal="center" vertical="center" wrapText="1"/>
    </xf>
    <xf numFmtId="0" fontId="15" fillId="3" borderId="45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5" fillId="3" borderId="56" xfId="0" applyFont="1" applyFill="1" applyBorder="1" applyAlignment="1">
      <alignment horizontal="center" vertical="center"/>
    </xf>
    <xf numFmtId="0" fontId="15" fillId="3" borderId="57" xfId="0" applyFont="1" applyFill="1" applyBorder="1" applyAlignment="1">
      <alignment horizontal="center" vertical="center"/>
    </xf>
    <xf numFmtId="0" fontId="15" fillId="3" borderId="58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8" fillId="8" borderId="7" xfId="4" applyFont="1" applyFill="1" applyBorder="1" applyAlignment="1">
      <alignment horizontal="center" vertical="center"/>
    </xf>
    <xf numFmtId="0" fontId="8" fillId="8" borderId="11" xfId="4" applyFont="1" applyFill="1" applyBorder="1" applyAlignment="1">
      <alignment horizontal="center" vertical="center"/>
    </xf>
    <xf numFmtId="0" fontId="8" fillId="3" borderId="42" xfId="4" applyFont="1" applyFill="1" applyBorder="1" applyAlignment="1">
      <alignment horizontal="center" vertical="center"/>
    </xf>
    <xf numFmtId="0" fontId="8" fillId="3" borderId="45" xfId="4" applyFont="1" applyFill="1" applyBorder="1" applyAlignment="1">
      <alignment horizontal="center" vertical="center"/>
    </xf>
    <xf numFmtId="0" fontId="8" fillId="3" borderId="23" xfId="4" applyFont="1" applyFill="1" applyBorder="1" applyAlignment="1">
      <alignment horizontal="center" vertical="center"/>
    </xf>
    <xf numFmtId="0" fontId="8" fillId="9" borderId="32" xfId="4" applyFont="1" applyFill="1" applyBorder="1" applyAlignment="1">
      <alignment horizontal="center" vertical="center"/>
    </xf>
    <xf numFmtId="0" fontId="8" fillId="9" borderId="31" xfId="4" applyFont="1" applyFill="1" applyBorder="1" applyAlignment="1">
      <alignment horizontal="center" vertical="center"/>
    </xf>
    <xf numFmtId="0" fontId="8" fillId="9" borderId="44" xfId="4" applyFont="1" applyFill="1" applyBorder="1" applyAlignment="1">
      <alignment horizontal="center" vertical="center"/>
    </xf>
    <xf numFmtId="0" fontId="8" fillId="0" borderId="56" xfId="4" applyFont="1" applyBorder="1" applyAlignment="1">
      <alignment horizontal="center" vertical="center" wrapText="1"/>
    </xf>
    <xf numFmtId="0" fontId="8" fillId="0" borderId="57" xfId="4" applyFont="1" applyBorder="1" applyAlignment="1">
      <alignment horizontal="center" vertical="center" wrapText="1"/>
    </xf>
    <xf numFmtId="0" fontId="8" fillId="0" borderId="58" xfId="4" applyFont="1" applyBorder="1" applyAlignment="1">
      <alignment horizontal="center" vertical="center" wrapText="1"/>
    </xf>
    <xf numFmtId="0" fontId="8" fillId="3" borderId="56" xfId="4" applyFont="1" applyFill="1" applyBorder="1" applyAlignment="1">
      <alignment horizontal="center" vertical="center"/>
    </xf>
    <xf numFmtId="0" fontId="8" fillId="3" borderId="57" xfId="4" applyFont="1" applyFill="1" applyBorder="1" applyAlignment="1">
      <alignment horizontal="center" vertical="center"/>
    </xf>
    <xf numFmtId="0" fontId="8" fillId="3" borderId="58" xfId="4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41" xfId="0" applyFont="1" applyFill="1" applyBorder="1" applyAlignment="1">
      <alignment horizontal="center" vertical="center"/>
    </xf>
    <xf numFmtId="0" fontId="8" fillId="7" borderId="43" xfId="0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9" borderId="49" xfId="4" applyFont="1" applyFill="1" applyBorder="1" applyAlignment="1">
      <alignment horizontal="center" vertical="center"/>
    </xf>
    <xf numFmtId="0" fontId="8" fillId="9" borderId="41" xfId="4" applyFont="1" applyFill="1" applyBorder="1" applyAlignment="1">
      <alignment horizontal="center" vertical="center"/>
    </xf>
    <xf numFmtId="0" fontId="8" fillId="9" borderId="43" xfId="4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center" vertical="center" wrapText="1"/>
    </xf>
    <xf numFmtId="0" fontId="8" fillId="3" borderId="58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3" borderId="57" xfId="0" applyFont="1" applyFill="1" applyBorder="1" applyAlignment="1">
      <alignment horizontal="center" vertical="center" wrapText="1"/>
    </xf>
    <xf numFmtId="0" fontId="8" fillId="3" borderId="58" xfId="0" applyFont="1" applyFill="1" applyBorder="1" applyAlignment="1">
      <alignment horizontal="center" vertical="center" wrapText="1"/>
    </xf>
    <xf numFmtId="0" fontId="9" fillId="2" borderId="49" xfId="4" applyFont="1" applyFill="1" applyBorder="1" applyAlignment="1">
      <alignment horizontal="center" vertical="center" wrapText="1"/>
    </xf>
    <xf numFmtId="0" fontId="9" fillId="2" borderId="43" xfId="4" applyFont="1" applyFill="1" applyBorder="1" applyAlignment="1">
      <alignment horizontal="center" vertical="center" wrapText="1"/>
    </xf>
    <xf numFmtId="0" fontId="8" fillId="2" borderId="36" xfId="4" applyFont="1" applyFill="1" applyBorder="1" applyAlignment="1">
      <alignment horizontal="center" vertical="center" wrapText="1"/>
    </xf>
    <xf numFmtId="0" fontId="8" fillId="2" borderId="40" xfId="4" applyFont="1" applyFill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 wrapText="1"/>
    </xf>
    <xf numFmtId="0" fontId="8" fillId="2" borderId="24" xfId="4" applyFont="1" applyFill="1" applyBorder="1" applyAlignment="1">
      <alignment horizontal="center" vertical="center" wrapText="1"/>
    </xf>
    <xf numFmtId="0" fontId="8" fillId="2" borderId="4" xfId="4" applyFont="1" applyFill="1" applyBorder="1" applyAlignment="1">
      <alignment horizontal="center" vertical="center" wrapText="1"/>
    </xf>
    <xf numFmtId="0" fontId="8" fillId="2" borderId="7" xfId="4" applyFont="1" applyFill="1" applyBorder="1" applyAlignment="1">
      <alignment horizontal="center" vertical="center" wrapText="1"/>
    </xf>
    <xf numFmtId="0" fontId="8" fillId="2" borderId="27" xfId="4" applyFont="1" applyFill="1" applyBorder="1" applyAlignment="1">
      <alignment horizontal="center" vertical="center" wrapText="1"/>
    </xf>
    <xf numFmtId="0" fontId="8" fillId="2" borderId="11" xfId="4" applyFont="1" applyFill="1" applyBorder="1" applyAlignment="1">
      <alignment horizontal="center" vertical="center" wrapText="1"/>
    </xf>
    <xf numFmtId="0" fontId="8" fillId="2" borderId="42" xfId="4" applyFont="1" applyFill="1" applyBorder="1" applyAlignment="1">
      <alignment horizontal="center" vertical="center" wrapText="1"/>
    </xf>
    <xf numFmtId="0" fontId="8" fillId="2" borderId="23" xfId="4" applyFont="1" applyFill="1" applyBorder="1" applyAlignment="1">
      <alignment horizontal="center" vertical="center" wrapText="1"/>
    </xf>
    <xf numFmtId="0" fontId="12" fillId="2" borderId="49" xfId="4" applyFont="1" applyFill="1" applyBorder="1" applyAlignment="1">
      <alignment horizontal="center" vertical="center" wrapText="1"/>
    </xf>
    <xf numFmtId="0" fontId="8" fillId="2" borderId="39" xfId="4" applyFont="1" applyFill="1" applyBorder="1" applyAlignment="1">
      <alignment horizontal="center" vertical="center" wrapText="1"/>
    </xf>
    <xf numFmtId="0" fontId="9" fillId="2" borderId="50" xfId="4" applyFont="1" applyFill="1" applyBorder="1" applyAlignment="1">
      <alignment horizontal="center" vertical="center" wrapText="1"/>
    </xf>
    <xf numFmtId="0" fontId="9" fillId="2" borderId="51" xfId="4" applyFont="1" applyFill="1" applyBorder="1" applyAlignment="1">
      <alignment horizontal="center" vertical="center" wrapText="1"/>
    </xf>
    <xf numFmtId="0" fontId="9" fillId="2" borderId="30" xfId="4" applyFont="1" applyFill="1" applyBorder="1" applyAlignment="1">
      <alignment horizontal="center" vertical="center" wrapText="1"/>
    </xf>
    <xf numFmtId="0" fontId="8" fillId="6" borderId="18" xfId="4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4" borderId="18" xfId="4" applyFont="1" applyFill="1" applyBorder="1" applyAlignment="1">
      <alignment horizontal="center" vertical="center"/>
    </xf>
    <xf numFmtId="0" fontId="8" fillId="0" borderId="18" xfId="4" applyFont="1" applyBorder="1" applyAlignment="1">
      <alignment horizontal="center" vertical="center" wrapText="1"/>
    </xf>
    <xf numFmtId="0" fontId="8" fillId="3" borderId="18" xfId="4" applyFont="1" applyFill="1" applyBorder="1" applyAlignment="1">
      <alignment horizontal="center" vertical="center"/>
    </xf>
    <xf numFmtId="0" fontId="9" fillId="2" borderId="24" xfId="4" applyFont="1" applyFill="1" applyBorder="1" applyAlignment="1">
      <alignment horizontal="center" vertical="center" wrapText="1"/>
    </xf>
    <xf numFmtId="0" fontId="8" fillId="2" borderId="3" xfId="4" applyFont="1" applyFill="1" applyBorder="1" applyAlignment="1">
      <alignment horizontal="center" vertical="center" wrapText="1"/>
    </xf>
    <xf numFmtId="0" fontId="8" fillId="2" borderId="19" xfId="4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2" borderId="17" xfId="4" applyFont="1" applyFill="1" applyBorder="1" applyAlignment="1">
      <alignment horizontal="center" vertical="center" wrapText="1"/>
    </xf>
    <xf numFmtId="0" fontId="8" fillId="2" borderId="18" xfId="4" applyFont="1" applyFill="1" applyBorder="1" applyAlignment="1">
      <alignment horizontal="center" vertical="center" wrapText="1"/>
    </xf>
    <xf numFmtId="0" fontId="12" fillId="2" borderId="24" xfId="4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0" fontId="8" fillId="4" borderId="19" xfId="4" applyFont="1" applyFill="1" applyBorder="1" applyAlignment="1">
      <alignment horizontal="center" vertical="center"/>
    </xf>
    <xf numFmtId="0" fontId="8" fillId="4" borderId="22" xfId="4" applyFont="1" applyFill="1" applyBorder="1" applyAlignment="1">
      <alignment horizontal="center" vertical="center"/>
    </xf>
    <xf numFmtId="0" fontId="8" fillId="4" borderId="17" xfId="4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8" fillId="0" borderId="42" xfId="4" applyFont="1" applyBorder="1" applyAlignment="1">
      <alignment horizontal="center" vertical="center" wrapText="1"/>
    </xf>
    <xf numFmtId="0" fontId="8" fillId="0" borderId="45" xfId="4" applyFont="1" applyBorder="1" applyAlignment="1">
      <alignment horizontal="center" vertical="center" wrapText="1"/>
    </xf>
    <xf numFmtId="0" fontId="8" fillId="0" borderId="23" xfId="4" applyFont="1" applyBorder="1" applyAlignment="1">
      <alignment horizontal="center" vertical="center" wrapText="1"/>
    </xf>
    <xf numFmtId="0" fontId="8" fillId="3" borderId="2" xfId="4" applyFont="1" applyFill="1" applyBorder="1" applyAlignment="1">
      <alignment horizontal="center" vertical="center"/>
    </xf>
    <xf numFmtId="0" fontId="8" fillId="3" borderId="17" xfId="4" applyFont="1" applyFill="1" applyBorder="1" applyAlignment="1">
      <alignment horizontal="center" vertical="center"/>
    </xf>
    <xf numFmtId="0" fontId="8" fillId="3" borderId="7" xfId="4" applyFont="1" applyFill="1" applyBorder="1" applyAlignment="1">
      <alignment horizontal="center" vertical="center"/>
    </xf>
    <xf numFmtId="0" fontId="8" fillId="8" borderId="27" xfId="4" applyFont="1" applyFill="1" applyBorder="1" applyAlignment="1">
      <alignment horizontal="center" vertical="center"/>
    </xf>
    <xf numFmtId="0" fontId="8" fillId="3" borderId="12" xfId="4" applyFont="1" applyFill="1" applyBorder="1" applyAlignment="1">
      <alignment horizontal="center" vertical="center"/>
    </xf>
    <xf numFmtId="0" fontId="8" fillId="8" borderId="18" xfId="4" applyFont="1" applyFill="1" applyBorder="1" applyAlignment="1">
      <alignment horizontal="center" vertical="center"/>
    </xf>
    <xf numFmtId="0" fontId="8" fillId="8" borderId="47" xfId="4" applyFont="1" applyFill="1" applyBorder="1" applyAlignment="1">
      <alignment horizontal="center" vertical="center"/>
    </xf>
    <xf numFmtId="0" fontId="8" fillId="0" borderId="46" xfId="4" applyFont="1" applyBorder="1" applyAlignment="1">
      <alignment horizontal="center" vertical="center" wrapText="1"/>
    </xf>
    <xf numFmtId="0" fontId="12" fillId="2" borderId="30" xfId="4" applyFont="1" applyFill="1" applyBorder="1" applyAlignment="1">
      <alignment horizontal="center" vertical="center" wrapText="1"/>
    </xf>
    <xf numFmtId="0" fontId="8" fillId="2" borderId="43" xfId="4" applyFont="1" applyFill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8" fillId="0" borderId="27" xfId="4" applyFont="1" applyBorder="1" applyAlignment="1">
      <alignment horizontal="center" vertical="center" wrapText="1"/>
    </xf>
    <xf numFmtId="0" fontId="8" fillId="3" borderId="13" xfId="4" applyFont="1" applyFill="1" applyBorder="1" applyAlignment="1">
      <alignment horizontal="center" vertical="center"/>
    </xf>
    <xf numFmtId="0" fontId="8" fillId="3" borderId="27" xfId="4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7" borderId="41" xfId="0" applyFont="1" applyFill="1" applyBorder="1" applyAlignment="1">
      <alignment horizontal="center" vertical="center"/>
    </xf>
    <xf numFmtId="0" fontId="15" fillId="7" borderId="4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9" borderId="40" xfId="4" applyFont="1" applyFill="1" applyBorder="1" applyAlignment="1">
      <alignment horizontal="center" vertical="center"/>
    </xf>
    <xf numFmtId="0" fontId="8" fillId="9" borderId="23" xfId="4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8" fillId="9" borderId="33" xfId="4" applyFont="1" applyFill="1" applyBorder="1" applyAlignment="1">
      <alignment horizontal="center" vertical="center"/>
    </xf>
    <xf numFmtId="0" fontId="8" fillId="9" borderId="5" xfId="4" applyFont="1" applyFill="1" applyBorder="1" applyAlignment="1">
      <alignment horizontal="center" vertical="center"/>
    </xf>
    <xf numFmtId="0" fontId="8" fillId="9" borderId="6" xfId="4" applyFont="1" applyFill="1" applyBorder="1" applyAlignment="1">
      <alignment horizontal="center" vertical="center"/>
    </xf>
    <xf numFmtId="0" fontId="14" fillId="7" borderId="32" xfId="0" applyFont="1" applyFill="1" applyBorder="1" applyAlignment="1">
      <alignment horizontal="center" vertical="center"/>
    </xf>
    <xf numFmtId="0" fontId="14" fillId="7" borderId="31" xfId="0" applyFont="1" applyFill="1" applyBorder="1" applyAlignment="1">
      <alignment horizontal="center" vertical="center"/>
    </xf>
    <xf numFmtId="0" fontId="14" fillId="7" borderId="44" xfId="0" applyFont="1" applyFill="1" applyBorder="1" applyAlignment="1">
      <alignment horizontal="center" vertical="center"/>
    </xf>
    <xf numFmtId="0" fontId="16" fillId="10" borderId="28" xfId="0" applyFont="1" applyFill="1" applyBorder="1" applyAlignment="1">
      <alignment horizontal="center" vertical="center"/>
    </xf>
    <xf numFmtId="0" fontId="16" fillId="10" borderId="29" xfId="0" applyFont="1" applyFill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24" xfId="4" applyFont="1" applyBorder="1" applyAlignment="1">
      <alignment horizontal="center" vertical="center" wrapText="1"/>
    </xf>
    <xf numFmtId="0" fontId="8" fillId="3" borderId="24" xfId="4" applyFont="1" applyFill="1" applyBorder="1" applyAlignment="1">
      <alignment horizontal="center" vertical="center"/>
    </xf>
    <xf numFmtId="0" fontId="8" fillId="0" borderId="59" xfId="4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8" fillId="7" borderId="29" xfId="0" applyFont="1" applyFill="1" applyBorder="1" applyAlignment="1">
      <alignment horizontal="center" vertical="center"/>
    </xf>
    <xf numFmtId="0" fontId="8" fillId="7" borderId="44" xfId="0" applyFont="1" applyFill="1" applyBorder="1" applyAlignment="1">
      <alignment horizontal="center" vertical="center"/>
    </xf>
  </cellXfs>
  <cellStyles count="5">
    <cellStyle name="백분율" xfId="2" builtinId="5"/>
    <cellStyle name="쉼표 [0]" xfId="1" builtinId="6"/>
    <cellStyle name="표준" xfId="0" builtinId="0"/>
    <cellStyle name="표준 6" xfId="3" xr:uid="{545EDF8F-ADBB-4316-9E44-678AFC371490}"/>
    <cellStyle name="표준 72" xfId="4" xr:uid="{5B5F3739-0E6E-4410-96C9-923B0148C4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3E50-A6BB-492B-86F8-6A6148307AB5}">
  <dimension ref="A1:N83"/>
  <sheetViews>
    <sheetView showGridLines="0" topLeftCell="A20" zoomScale="85" zoomScaleNormal="85" workbookViewId="0">
      <selection activeCell="K16" sqref="K16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spans="1:14" ht="20.25">
      <c r="A1" s="26" t="s">
        <v>43</v>
      </c>
    </row>
    <row r="2" spans="1:14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7" t="s">
        <v>1</v>
      </c>
    </row>
    <row r="5" spans="1:14" ht="23.25" customHeight="1">
      <c r="A5" s="289" t="s">
        <v>2</v>
      </c>
      <c r="B5" s="290"/>
      <c r="C5" s="290"/>
      <c r="D5" s="290"/>
      <c r="E5" s="290" t="s">
        <v>3</v>
      </c>
      <c r="F5" s="315" t="s">
        <v>45</v>
      </c>
      <c r="G5" s="290"/>
      <c r="H5" s="309" t="s">
        <v>39</v>
      </c>
      <c r="I5" s="309"/>
      <c r="J5" s="309" t="s">
        <v>4</v>
      </c>
      <c r="K5" s="309"/>
      <c r="L5" s="309" t="s">
        <v>44</v>
      </c>
      <c r="M5" s="309"/>
      <c r="N5" s="310" t="s">
        <v>5</v>
      </c>
    </row>
    <row r="6" spans="1:14">
      <c r="A6" s="313"/>
      <c r="B6" s="314"/>
      <c r="C6" s="314"/>
      <c r="D6" s="314"/>
      <c r="E6" s="314"/>
      <c r="F6" s="30" t="s">
        <v>6</v>
      </c>
      <c r="G6" s="30" t="s">
        <v>7</v>
      </c>
      <c r="H6" s="31" t="s">
        <v>8</v>
      </c>
      <c r="I6" s="30" t="s">
        <v>9</v>
      </c>
      <c r="J6" s="31" t="s">
        <v>8</v>
      </c>
      <c r="K6" s="30" t="s">
        <v>9</v>
      </c>
      <c r="L6" s="31" t="s">
        <v>8</v>
      </c>
      <c r="M6" s="30" t="s">
        <v>9</v>
      </c>
      <c r="N6" s="311"/>
    </row>
    <row r="7" spans="1:14">
      <c r="A7" s="305" t="s">
        <v>10</v>
      </c>
      <c r="B7" s="307" t="s">
        <v>11</v>
      </c>
      <c r="C7" s="308" t="s">
        <v>12</v>
      </c>
      <c r="D7" s="22" t="s">
        <v>13</v>
      </c>
      <c r="E7" s="32">
        <v>275</v>
      </c>
      <c r="F7" s="32">
        <v>0</v>
      </c>
      <c r="G7" s="32">
        <f>F7*E7</f>
        <v>0</v>
      </c>
      <c r="H7" s="33">
        <f>F7</f>
        <v>0</v>
      </c>
      <c r="I7" s="34">
        <f>H7*E7</f>
        <v>0</v>
      </c>
      <c r="J7" s="35">
        <f t="shared" ref="J7:K7" si="0">IFERROR(H7/L7-1,"-")</f>
        <v>-1</v>
      </c>
      <c r="K7" s="35">
        <f t="shared" si="0"/>
        <v>-1</v>
      </c>
      <c r="L7" s="34">
        <f>3+5</f>
        <v>8</v>
      </c>
      <c r="M7" s="34">
        <f>690+1210</f>
        <v>1900</v>
      </c>
      <c r="N7" s="36" t="s">
        <v>14</v>
      </c>
    </row>
    <row r="8" spans="1:14">
      <c r="A8" s="305"/>
      <c r="B8" s="307"/>
      <c r="C8" s="308"/>
      <c r="D8" s="22" t="s">
        <v>15</v>
      </c>
      <c r="E8" s="32">
        <v>180</v>
      </c>
      <c r="F8" s="32"/>
      <c r="G8" s="32"/>
      <c r="H8" s="33">
        <v>0</v>
      </c>
      <c r="I8" s="34">
        <f>H8*E8</f>
        <v>0</v>
      </c>
      <c r="J8" s="35" t="str">
        <f t="shared" ref="J8:J71" si="1">IFERROR(H8/L8-1,"-")</f>
        <v>-</v>
      </c>
      <c r="K8" s="35" t="str">
        <f t="shared" ref="K8:K71" si="2">IFERROR(I8/M8-1,"-")</f>
        <v>-</v>
      </c>
      <c r="L8" s="34"/>
      <c r="M8" s="34"/>
      <c r="N8" s="36"/>
    </row>
    <row r="9" spans="1:14">
      <c r="A9" s="305"/>
      <c r="B9" s="307"/>
      <c r="C9" s="308"/>
      <c r="D9" s="22" t="s">
        <v>37</v>
      </c>
      <c r="E9" s="32">
        <v>420</v>
      </c>
      <c r="F9" s="32">
        <v>0</v>
      </c>
      <c r="G9" s="32">
        <f>F9*E9</f>
        <v>0</v>
      </c>
      <c r="H9" s="33">
        <v>0</v>
      </c>
      <c r="I9" s="34">
        <f>H9*E9</f>
        <v>0</v>
      </c>
      <c r="J9" s="35">
        <f t="shared" si="1"/>
        <v>-1</v>
      </c>
      <c r="K9" s="35">
        <f t="shared" si="2"/>
        <v>-1</v>
      </c>
      <c r="L9" s="34">
        <v>1</v>
      </c>
      <c r="M9" s="34">
        <v>430</v>
      </c>
      <c r="N9" s="36"/>
    </row>
    <row r="10" spans="1:14">
      <c r="A10" s="305"/>
      <c r="B10" s="307"/>
      <c r="C10" s="308"/>
      <c r="D10" s="302" t="s">
        <v>16</v>
      </c>
      <c r="E10" s="302"/>
      <c r="F10" s="54">
        <f>SUM(F7:F9)</f>
        <v>0</v>
      </c>
      <c r="G10" s="54">
        <f>SUM(G7:G9)</f>
        <v>0</v>
      </c>
      <c r="H10" s="54">
        <f>SUM(H7:H9)</f>
        <v>0</v>
      </c>
      <c r="I10" s="54">
        <f>SUM(I7:I9)</f>
        <v>0</v>
      </c>
      <c r="J10" s="35">
        <f t="shared" si="1"/>
        <v>-1</v>
      </c>
      <c r="K10" s="35">
        <f t="shared" si="2"/>
        <v>-1</v>
      </c>
      <c r="L10" s="54">
        <f>SUM(L7:L9)</f>
        <v>9</v>
      </c>
      <c r="M10" s="54">
        <f>SUM(M7:M9)</f>
        <v>2330</v>
      </c>
      <c r="N10" s="36"/>
    </row>
    <row r="11" spans="1:14">
      <c r="A11" s="305"/>
      <c r="B11" s="307"/>
      <c r="C11" s="308" t="s">
        <v>17</v>
      </c>
      <c r="D11" s="22" t="s">
        <v>18</v>
      </c>
      <c r="E11" s="32">
        <v>550</v>
      </c>
      <c r="F11" s="32">
        <v>1</v>
      </c>
      <c r="G11" s="32">
        <f>F11*E11</f>
        <v>550</v>
      </c>
      <c r="H11" s="33">
        <v>1</v>
      </c>
      <c r="I11" s="34">
        <f>H11*E11</f>
        <v>550</v>
      </c>
      <c r="J11" s="35">
        <f t="shared" si="1"/>
        <v>-0.95</v>
      </c>
      <c r="K11" s="35">
        <f t="shared" si="2"/>
        <v>-0.94811320754716977</v>
      </c>
      <c r="L11" s="34">
        <v>20</v>
      </c>
      <c r="M11" s="34">
        <f>1060+9540</f>
        <v>10600</v>
      </c>
      <c r="N11" s="36"/>
    </row>
    <row r="12" spans="1:14">
      <c r="A12" s="305"/>
      <c r="B12" s="307"/>
      <c r="C12" s="308"/>
      <c r="D12" s="22" t="s">
        <v>19</v>
      </c>
      <c r="E12" s="32">
        <v>675</v>
      </c>
      <c r="F12" s="32"/>
      <c r="G12" s="32"/>
      <c r="H12" s="33">
        <v>0</v>
      </c>
      <c r="I12" s="34">
        <f>H12*E12</f>
        <v>0</v>
      </c>
      <c r="J12" s="35">
        <f t="shared" si="1"/>
        <v>-1</v>
      </c>
      <c r="K12" s="35">
        <f t="shared" si="2"/>
        <v>-1</v>
      </c>
      <c r="L12" s="34">
        <v>28</v>
      </c>
      <c r="M12" s="34">
        <f>9600+7680</f>
        <v>17280</v>
      </c>
      <c r="N12" s="36"/>
    </row>
    <row r="13" spans="1:14">
      <c r="A13" s="305"/>
      <c r="B13" s="307"/>
      <c r="C13" s="308"/>
      <c r="D13" s="22" t="s">
        <v>38</v>
      </c>
      <c r="E13" s="32">
        <v>810</v>
      </c>
      <c r="F13" s="32">
        <v>0</v>
      </c>
      <c r="G13" s="32">
        <f>F13*E13</f>
        <v>0</v>
      </c>
      <c r="H13" s="33">
        <v>0</v>
      </c>
      <c r="I13" s="34">
        <f>H13*E13</f>
        <v>0</v>
      </c>
      <c r="J13" s="35" t="str">
        <f t="shared" si="1"/>
        <v>-</v>
      </c>
      <c r="K13" s="35" t="str">
        <f t="shared" si="2"/>
        <v>-</v>
      </c>
      <c r="L13" s="34">
        <v>0</v>
      </c>
      <c r="M13" s="34">
        <v>0</v>
      </c>
      <c r="N13" s="36"/>
    </row>
    <row r="14" spans="1:14">
      <c r="A14" s="305"/>
      <c r="B14" s="307"/>
      <c r="C14" s="308"/>
      <c r="D14" s="302" t="s">
        <v>16</v>
      </c>
      <c r="E14" s="302"/>
      <c r="F14" s="54">
        <f>SUM(F11:F13)</f>
        <v>1</v>
      </c>
      <c r="G14" s="54">
        <f>SUM(G11:G13)</f>
        <v>550</v>
      </c>
      <c r="H14" s="54">
        <f>SUM(H11:H13)</f>
        <v>1</v>
      </c>
      <c r="I14" s="54">
        <f>SUM(I11:I13)</f>
        <v>550</v>
      </c>
      <c r="J14" s="35">
        <f t="shared" si="1"/>
        <v>-0.97916666666666663</v>
      </c>
      <c r="K14" s="35">
        <f t="shared" si="2"/>
        <v>-0.98027259684361545</v>
      </c>
      <c r="L14" s="54">
        <f>SUM(L11:L13)</f>
        <v>48</v>
      </c>
      <c r="M14" s="54">
        <f>SUM(M11:M13)</f>
        <v>27880</v>
      </c>
      <c r="N14" s="36"/>
    </row>
    <row r="15" spans="1:14">
      <c r="A15" s="305"/>
      <c r="B15" s="307"/>
      <c r="C15" s="306" t="s">
        <v>20</v>
      </c>
      <c r="D15" s="306"/>
      <c r="E15" s="37">
        <v>0</v>
      </c>
      <c r="F15" s="38">
        <f>SUM(F10,F14)</f>
        <v>1</v>
      </c>
      <c r="G15" s="38">
        <f>SUM(G10,G14)</f>
        <v>550</v>
      </c>
      <c r="H15" s="38">
        <f>H14+H10</f>
        <v>1</v>
      </c>
      <c r="I15" s="38">
        <f>I14+I10</f>
        <v>550</v>
      </c>
      <c r="J15" s="35">
        <f t="shared" si="1"/>
        <v>-0.98245614035087714</v>
      </c>
      <c r="K15" s="35">
        <f t="shared" si="2"/>
        <v>-0.98179410791128763</v>
      </c>
      <c r="L15" s="38">
        <f>SUM(L10,L14)</f>
        <v>57</v>
      </c>
      <c r="M15" s="38">
        <f>SUM(M10,M14)</f>
        <v>30210</v>
      </c>
      <c r="N15" s="36"/>
    </row>
    <row r="16" spans="1:14">
      <c r="A16" s="305"/>
      <c r="B16" s="307" t="s">
        <v>21</v>
      </c>
      <c r="C16" s="308" t="s">
        <v>12</v>
      </c>
      <c r="D16" s="22" t="s">
        <v>13</v>
      </c>
      <c r="E16" s="32">
        <v>190</v>
      </c>
      <c r="F16" s="32">
        <v>0</v>
      </c>
      <c r="G16" s="32">
        <f>F16*E16</f>
        <v>0</v>
      </c>
      <c r="H16" s="33">
        <v>0</v>
      </c>
      <c r="I16" s="34">
        <f>H16*E16</f>
        <v>0</v>
      </c>
      <c r="J16" s="35">
        <f t="shared" si="1"/>
        <v>-1</v>
      </c>
      <c r="K16" s="35">
        <f t="shared" si="2"/>
        <v>-1</v>
      </c>
      <c r="L16" s="34">
        <v>5</v>
      </c>
      <c r="M16" s="34">
        <v>670</v>
      </c>
      <c r="N16" s="36" t="s">
        <v>22</v>
      </c>
    </row>
    <row r="17" spans="1:14">
      <c r="A17" s="305"/>
      <c r="B17" s="307"/>
      <c r="C17" s="308"/>
      <c r="D17" s="22" t="s">
        <v>15</v>
      </c>
      <c r="E17" s="32">
        <v>120</v>
      </c>
      <c r="F17" s="32"/>
      <c r="G17" s="32"/>
      <c r="H17" s="33">
        <v>0</v>
      </c>
      <c r="I17" s="34">
        <f>H17*E17</f>
        <v>0</v>
      </c>
      <c r="J17" s="35">
        <f t="shared" si="1"/>
        <v>-1</v>
      </c>
      <c r="K17" s="35">
        <f t="shared" si="2"/>
        <v>-1</v>
      </c>
      <c r="L17" s="34">
        <v>3</v>
      </c>
      <c r="M17" s="34">
        <v>430</v>
      </c>
      <c r="N17" s="36"/>
    </row>
    <row r="18" spans="1:14">
      <c r="A18" s="305"/>
      <c r="B18" s="307"/>
      <c r="C18" s="308"/>
      <c r="D18" s="22" t="s">
        <v>37</v>
      </c>
      <c r="E18" s="32">
        <v>300</v>
      </c>
      <c r="F18" s="32">
        <v>0</v>
      </c>
      <c r="G18" s="32">
        <f>F18*E18</f>
        <v>0</v>
      </c>
      <c r="H18" s="33">
        <v>0</v>
      </c>
      <c r="I18" s="34">
        <f>H18*E18</f>
        <v>0</v>
      </c>
      <c r="J18" s="35" t="str">
        <f t="shared" si="1"/>
        <v>-</v>
      </c>
      <c r="K18" s="35" t="str">
        <f t="shared" si="2"/>
        <v>-</v>
      </c>
      <c r="L18" s="34">
        <v>0</v>
      </c>
      <c r="M18" s="34">
        <v>0</v>
      </c>
      <c r="N18" s="36" t="s">
        <v>23</v>
      </c>
    </row>
    <row r="19" spans="1:14">
      <c r="A19" s="305"/>
      <c r="B19" s="307"/>
      <c r="C19" s="308"/>
      <c r="D19" s="302" t="s">
        <v>16</v>
      </c>
      <c r="E19" s="302"/>
      <c r="F19" s="54">
        <f>SUM(F16:F18)</f>
        <v>0</v>
      </c>
      <c r="G19" s="54">
        <f>SUM(G16:G18)</f>
        <v>0</v>
      </c>
      <c r="H19" s="54">
        <f>SUM(H16:H18)</f>
        <v>0</v>
      </c>
      <c r="I19" s="54">
        <f>SUM(I16:I18)</f>
        <v>0</v>
      </c>
      <c r="J19" s="35">
        <f t="shared" si="1"/>
        <v>-1</v>
      </c>
      <c r="K19" s="35">
        <f t="shared" si="2"/>
        <v>-1</v>
      </c>
      <c r="L19" s="54">
        <f>SUM(L16:L18)</f>
        <v>8</v>
      </c>
      <c r="M19" s="54">
        <f>SUM(M16:M18)</f>
        <v>1100</v>
      </c>
      <c r="N19" s="36" t="s">
        <v>24</v>
      </c>
    </row>
    <row r="20" spans="1:14">
      <c r="A20" s="305"/>
      <c r="B20" s="307"/>
      <c r="C20" s="308" t="s">
        <v>17</v>
      </c>
      <c r="D20" s="22" t="s">
        <v>18</v>
      </c>
      <c r="E20" s="32">
        <v>440</v>
      </c>
      <c r="F20" s="32">
        <v>0</v>
      </c>
      <c r="G20" s="32">
        <f>F20*E20</f>
        <v>0</v>
      </c>
      <c r="H20" s="33">
        <v>0</v>
      </c>
      <c r="I20" s="34">
        <f>H20*E20</f>
        <v>0</v>
      </c>
      <c r="J20" s="35">
        <f t="shared" si="1"/>
        <v>-1</v>
      </c>
      <c r="K20" s="35">
        <f t="shared" si="2"/>
        <v>-1</v>
      </c>
      <c r="L20" s="34">
        <f>16+1</f>
        <v>17</v>
      </c>
      <c r="M20" s="34">
        <f>1320+5720+440</f>
        <v>7480</v>
      </c>
      <c r="N20" s="36" t="s">
        <v>25</v>
      </c>
    </row>
    <row r="21" spans="1:14">
      <c r="A21" s="305"/>
      <c r="B21" s="307"/>
      <c r="C21" s="308"/>
      <c r="D21" s="22" t="s">
        <v>19</v>
      </c>
      <c r="E21" s="32">
        <v>520</v>
      </c>
      <c r="F21" s="32"/>
      <c r="G21" s="32"/>
      <c r="H21" s="33">
        <v>0</v>
      </c>
      <c r="I21" s="34">
        <f>H21*E21</f>
        <v>0</v>
      </c>
      <c r="J21" s="35">
        <f t="shared" si="1"/>
        <v>-1</v>
      </c>
      <c r="K21" s="35">
        <f t="shared" si="2"/>
        <v>-1</v>
      </c>
      <c r="L21" s="34">
        <f>9+4</f>
        <v>13</v>
      </c>
      <c r="M21" s="34">
        <f>1560+3120+2080</f>
        <v>6760</v>
      </c>
      <c r="N21" s="36"/>
    </row>
    <row r="22" spans="1:14">
      <c r="A22" s="305"/>
      <c r="B22" s="307"/>
      <c r="C22" s="308"/>
      <c r="D22" s="22" t="s">
        <v>38</v>
      </c>
      <c r="E22" s="32">
        <v>600</v>
      </c>
      <c r="F22" s="32">
        <v>0</v>
      </c>
      <c r="G22" s="32">
        <f>F22*E22</f>
        <v>0</v>
      </c>
      <c r="H22" s="33">
        <v>0</v>
      </c>
      <c r="I22" s="34">
        <f>H22*E22</f>
        <v>0</v>
      </c>
      <c r="J22" s="35" t="str">
        <f t="shared" si="1"/>
        <v>-</v>
      </c>
      <c r="K22" s="35" t="str">
        <f t="shared" si="2"/>
        <v>-</v>
      </c>
      <c r="L22" s="34"/>
      <c r="M22" s="34"/>
      <c r="N22" s="36"/>
    </row>
    <row r="23" spans="1:14">
      <c r="A23" s="305"/>
      <c r="B23" s="307"/>
      <c r="C23" s="308"/>
      <c r="D23" s="302" t="s">
        <v>16</v>
      </c>
      <c r="E23" s="302"/>
      <c r="F23" s="54">
        <f>SUM(F20:F22)</f>
        <v>0</v>
      </c>
      <c r="G23" s="54">
        <f>SUM(G20:G22)</f>
        <v>0</v>
      </c>
      <c r="H23" s="54">
        <f>SUM(H20:H22)</f>
        <v>0</v>
      </c>
      <c r="I23" s="54">
        <f>SUM(I20:I22)</f>
        <v>0</v>
      </c>
      <c r="J23" s="35">
        <f t="shared" si="1"/>
        <v>-1</v>
      </c>
      <c r="K23" s="35">
        <f t="shared" si="2"/>
        <v>-1</v>
      </c>
      <c r="L23" s="54">
        <f>SUM(L20:L22)</f>
        <v>30</v>
      </c>
      <c r="M23" s="54">
        <f>SUM(M20:M22)</f>
        <v>14240</v>
      </c>
      <c r="N23" s="36"/>
    </row>
    <row r="24" spans="1:14">
      <c r="A24" s="305"/>
      <c r="B24" s="307"/>
      <c r="C24" s="306" t="s">
        <v>20</v>
      </c>
      <c r="D24" s="306"/>
      <c r="E24" s="37">
        <v>0</v>
      </c>
      <c r="F24" s="38">
        <f>SUM(F19,F23)</f>
        <v>0</v>
      </c>
      <c r="G24" s="38">
        <f>SUM(G19,G23)</f>
        <v>0</v>
      </c>
      <c r="H24" s="38">
        <f>H23+H19</f>
        <v>0</v>
      </c>
      <c r="I24" s="38">
        <f>I23+I19</f>
        <v>0</v>
      </c>
      <c r="J24" s="35">
        <f t="shared" si="1"/>
        <v>-1</v>
      </c>
      <c r="K24" s="35">
        <f t="shared" si="2"/>
        <v>-1</v>
      </c>
      <c r="L24" s="38">
        <f>SUM(L19,L23)</f>
        <v>38</v>
      </c>
      <c r="M24" s="38">
        <f>SUM(M19,M23)</f>
        <v>15340</v>
      </c>
      <c r="N24" s="36"/>
    </row>
    <row r="25" spans="1:14">
      <c r="A25" s="305"/>
      <c r="B25" s="307" t="s">
        <v>26</v>
      </c>
      <c r="C25" s="308" t="s">
        <v>12</v>
      </c>
      <c r="D25" s="22" t="s">
        <v>13</v>
      </c>
      <c r="E25" s="32">
        <v>190</v>
      </c>
      <c r="F25" s="32">
        <v>0</v>
      </c>
      <c r="G25" s="32">
        <f>F25*E25</f>
        <v>0</v>
      </c>
      <c r="H25" s="33">
        <v>0</v>
      </c>
      <c r="I25" s="34">
        <f>H25*E25</f>
        <v>0</v>
      </c>
      <c r="J25" s="35">
        <f t="shared" si="1"/>
        <v>-1</v>
      </c>
      <c r="K25" s="35">
        <f t="shared" si="2"/>
        <v>-1</v>
      </c>
      <c r="L25" s="34">
        <v>19</v>
      </c>
      <c r="M25" s="34">
        <v>2910</v>
      </c>
      <c r="N25" s="36" t="s">
        <v>22</v>
      </c>
    </row>
    <row r="26" spans="1:14">
      <c r="A26" s="305"/>
      <c r="B26" s="307"/>
      <c r="C26" s="308"/>
      <c r="D26" s="22" t="s">
        <v>15</v>
      </c>
      <c r="E26" s="32">
        <v>120</v>
      </c>
      <c r="F26" s="32"/>
      <c r="G26" s="32"/>
      <c r="H26" s="33">
        <v>0</v>
      </c>
      <c r="I26" s="34">
        <f>H26*E26</f>
        <v>0</v>
      </c>
      <c r="J26" s="35" t="str">
        <f t="shared" si="1"/>
        <v>-</v>
      </c>
      <c r="K26" s="35" t="str">
        <f t="shared" si="2"/>
        <v>-</v>
      </c>
      <c r="L26" s="34">
        <v>0</v>
      </c>
      <c r="M26" s="34">
        <v>0</v>
      </c>
      <c r="N26" s="36"/>
    </row>
    <row r="27" spans="1:14">
      <c r="A27" s="305"/>
      <c r="B27" s="307"/>
      <c r="C27" s="308"/>
      <c r="D27" s="22" t="s">
        <v>37</v>
      </c>
      <c r="E27" s="32">
        <v>300</v>
      </c>
      <c r="F27" s="32">
        <v>0</v>
      </c>
      <c r="G27" s="32">
        <f>F27*E27</f>
        <v>0</v>
      </c>
      <c r="H27" s="33">
        <v>0</v>
      </c>
      <c r="I27" s="34">
        <f>H27*E27</f>
        <v>0</v>
      </c>
      <c r="J27" s="35">
        <f t="shared" si="1"/>
        <v>-1</v>
      </c>
      <c r="K27" s="35">
        <f t="shared" si="2"/>
        <v>-1</v>
      </c>
      <c r="L27" s="34">
        <v>7</v>
      </c>
      <c r="M27" s="34">
        <v>2170</v>
      </c>
      <c r="N27" s="36" t="s">
        <v>27</v>
      </c>
    </row>
    <row r="28" spans="1:14">
      <c r="A28" s="305"/>
      <c r="B28" s="307"/>
      <c r="C28" s="308"/>
      <c r="D28" s="302" t="s">
        <v>16</v>
      </c>
      <c r="E28" s="302"/>
      <c r="F28" s="54">
        <f>SUM(F25:F27)</f>
        <v>0</v>
      </c>
      <c r="G28" s="54">
        <f>SUM(G25:G27)</f>
        <v>0</v>
      </c>
      <c r="H28" s="54">
        <f>SUM(H25:H27)</f>
        <v>0</v>
      </c>
      <c r="I28" s="54">
        <f>SUM(I25:I27)</f>
        <v>0</v>
      </c>
      <c r="J28" s="35">
        <f t="shared" si="1"/>
        <v>-1</v>
      </c>
      <c r="K28" s="35">
        <f t="shared" si="2"/>
        <v>-1</v>
      </c>
      <c r="L28" s="54">
        <f>SUM(L25:L27)</f>
        <v>26</v>
      </c>
      <c r="M28" s="54">
        <f>SUM(M25:M27)</f>
        <v>5080</v>
      </c>
      <c r="N28" s="36"/>
    </row>
    <row r="29" spans="1:14">
      <c r="A29" s="305"/>
      <c r="B29" s="307"/>
      <c r="C29" s="308" t="s">
        <v>17</v>
      </c>
      <c r="D29" s="22" t="s">
        <v>18</v>
      </c>
      <c r="E29" s="32">
        <v>440</v>
      </c>
      <c r="F29" s="32">
        <v>1</v>
      </c>
      <c r="G29" s="32">
        <f>F29*E29</f>
        <v>440</v>
      </c>
      <c r="H29" s="33">
        <v>1</v>
      </c>
      <c r="I29" s="34">
        <f>H29*E29</f>
        <v>440</v>
      </c>
      <c r="J29" s="35">
        <f t="shared" si="1"/>
        <v>-0.98148148148148151</v>
      </c>
      <c r="K29" s="35">
        <f t="shared" si="2"/>
        <v>-0.98148148148148151</v>
      </c>
      <c r="L29" s="34">
        <v>54</v>
      </c>
      <c r="M29" s="34">
        <v>23760</v>
      </c>
      <c r="N29" s="36"/>
    </row>
    <row r="30" spans="1:14">
      <c r="A30" s="305"/>
      <c r="B30" s="307"/>
      <c r="C30" s="308"/>
      <c r="D30" s="22" t="s">
        <v>19</v>
      </c>
      <c r="E30" s="32">
        <v>520</v>
      </c>
      <c r="F30" s="32">
        <v>1</v>
      </c>
      <c r="G30" s="32"/>
      <c r="H30" s="33">
        <v>1</v>
      </c>
      <c r="I30" s="34">
        <f>H30*E30</f>
        <v>520</v>
      </c>
      <c r="J30" s="35">
        <f t="shared" si="1"/>
        <v>-0.97560975609756095</v>
      </c>
      <c r="K30" s="35">
        <f t="shared" si="2"/>
        <v>-0.97619047619047616</v>
      </c>
      <c r="L30" s="34">
        <v>41</v>
      </c>
      <c r="M30" s="34">
        <v>21840</v>
      </c>
      <c r="N30" s="36"/>
    </row>
    <row r="31" spans="1:14">
      <c r="A31" s="305"/>
      <c r="B31" s="307"/>
      <c r="C31" s="308"/>
      <c r="D31" s="22" t="s">
        <v>38</v>
      </c>
      <c r="E31" s="32">
        <v>600</v>
      </c>
      <c r="F31" s="32">
        <v>3</v>
      </c>
      <c r="G31" s="32">
        <f>F31*E31</f>
        <v>1800</v>
      </c>
      <c r="H31" s="33">
        <v>3</v>
      </c>
      <c r="I31" s="34">
        <f>H31*E31</f>
        <v>1800</v>
      </c>
      <c r="J31" s="35" t="str">
        <f t="shared" si="1"/>
        <v>-</v>
      </c>
      <c r="K31" s="35" t="str">
        <f t="shared" si="2"/>
        <v>-</v>
      </c>
      <c r="L31" s="34">
        <v>0</v>
      </c>
      <c r="M31" s="34">
        <v>0</v>
      </c>
      <c r="N31" s="36"/>
    </row>
    <row r="32" spans="1:14">
      <c r="A32" s="305"/>
      <c r="B32" s="307"/>
      <c r="C32" s="308"/>
      <c r="D32" s="302" t="s">
        <v>16</v>
      </c>
      <c r="E32" s="302"/>
      <c r="F32" s="54">
        <f>SUM(F29:F31)</f>
        <v>5</v>
      </c>
      <c r="G32" s="54">
        <f>SUM(G29:G31)</f>
        <v>2240</v>
      </c>
      <c r="H32" s="54">
        <f>SUM(H29:H31)</f>
        <v>5</v>
      </c>
      <c r="I32" s="54">
        <f>SUM(I29:I31)</f>
        <v>2760</v>
      </c>
      <c r="J32" s="35">
        <f t="shared" si="1"/>
        <v>-0.94736842105263164</v>
      </c>
      <c r="K32" s="35">
        <f t="shared" si="2"/>
        <v>-0.93947368421052635</v>
      </c>
      <c r="L32" s="54">
        <f>SUM(L29:L31)</f>
        <v>95</v>
      </c>
      <c r="M32" s="54">
        <f>SUM(M29:M31)</f>
        <v>45600</v>
      </c>
      <c r="N32" s="36"/>
    </row>
    <row r="33" spans="1:14">
      <c r="A33" s="305"/>
      <c r="B33" s="307"/>
      <c r="C33" s="306" t="s">
        <v>20</v>
      </c>
      <c r="D33" s="306"/>
      <c r="E33" s="37">
        <v>0</v>
      </c>
      <c r="F33" s="38">
        <f>SUM(F28,F32)</f>
        <v>5</v>
      </c>
      <c r="G33" s="38">
        <f>SUM(G28,G32)</f>
        <v>2240</v>
      </c>
      <c r="H33" s="38">
        <f>H32+H28</f>
        <v>5</v>
      </c>
      <c r="I33" s="38">
        <f>I32+I28</f>
        <v>2760</v>
      </c>
      <c r="J33" s="35">
        <f t="shared" si="1"/>
        <v>-0.95867768595041325</v>
      </c>
      <c r="K33" s="35">
        <f t="shared" si="2"/>
        <v>-0.94554064719810571</v>
      </c>
      <c r="L33" s="38">
        <f>SUM(L28,L32)</f>
        <v>121</v>
      </c>
      <c r="M33" s="38">
        <f>SUM(M28,M32)</f>
        <v>50680</v>
      </c>
      <c r="N33" s="36"/>
    </row>
    <row r="34" spans="1:14">
      <c r="A34" s="303" t="s">
        <v>28</v>
      </c>
      <c r="B34" s="304"/>
      <c r="C34" s="304"/>
      <c r="D34" s="304"/>
      <c r="E34" s="304"/>
      <c r="F34" s="39">
        <f>F15+F24+F33</f>
        <v>6</v>
      </c>
      <c r="G34" s="39">
        <f>G15+G24+G33</f>
        <v>2790</v>
      </c>
      <c r="H34" s="39">
        <f>H15+H24+H33</f>
        <v>6</v>
      </c>
      <c r="I34" s="39">
        <f>I15+I24+I33</f>
        <v>3310</v>
      </c>
      <c r="J34" s="35">
        <f t="shared" si="1"/>
        <v>-0.97222222222222221</v>
      </c>
      <c r="K34" s="35">
        <f t="shared" si="2"/>
        <v>-0.9656032422321521</v>
      </c>
      <c r="L34" s="39">
        <f>L33+L24+L15</f>
        <v>216</v>
      </c>
      <c r="M34" s="39">
        <f>M33+M24+M15</f>
        <v>96230</v>
      </c>
      <c r="N34" s="36"/>
    </row>
    <row r="35" spans="1:14" ht="16.5" hidden="1" customHeight="1">
      <c r="A35" s="316" t="s">
        <v>46</v>
      </c>
      <c r="B35" s="320" t="s">
        <v>29</v>
      </c>
      <c r="C35" s="321" t="s">
        <v>30</v>
      </c>
      <c r="D35" s="40" t="s">
        <v>19</v>
      </c>
      <c r="E35" s="47">
        <v>990</v>
      </c>
      <c r="F35" s="41">
        <v>4</v>
      </c>
      <c r="G35" s="41">
        <f>F35*E35</f>
        <v>3960</v>
      </c>
      <c r="H35" s="41">
        <f>F35</f>
        <v>4</v>
      </c>
      <c r="I35" s="41">
        <f>H35*E35</f>
        <v>3960</v>
      </c>
      <c r="J35" s="35">
        <f t="shared" si="1"/>
        <v>-0.6</v>
      </c>
      <c r="K35" s="35">
        <f t="shared" si="2"/>
        <v>-0.72499999999999998</v>
      </c>
      <c r="L35" s="41">
        <v>10</v>
      </c>
      <c r="M35" s="41">
        <v>14400</v>
      </c>
      <c r="N35" s="42"/>
    </row>
    <row r="36" spans="1:14" hidden="1">
      <c r="A36" s="316"/>
      <c r="B36" s="320"/>
      <c r="C36" s="320"/>
      <c r="D36" s="55" t="s">
        <v>16</v>
      </c>
      <c r="E36" s="56">
        <v>0</v>
      </c>
      <c r="F36" s="53"/>
      <c r="G36" s="53"/>
      <c r="H36" s="53"/>
      <c r="I36" s="53"/>
      <c r="J36" s="35">
        <f t="shared" si="1"/>
        <v>-1</v>
      </c>
      <c r="K36" s="35">
        <f t="shared" si="2"/>
        <v>-1</v>
      </c>
      <c r="L36" s="53">
        <f>SUM(L35)</f>
        <v>10</v>
      </c>
      <c r="M36" s="53">
        <f>SUM(M35)</f>
        <v>14400</v>
      </c>
      <c r="N36" s="42"/>
    </row>
    <row r="37" spans="1:14" hidden="1">
      <c r="A37" s="316"/>
      <c r="B37" s="321" t="s">
        <v>31</v>
      </c>
      <c r="C37" s="321" t="s">
        <v>32</v>
      </c>
      <c r="D37" s="40" t="s">
        <v>33</v>
      </c>
      <c r="E37" s="47">
        <v>50</v>
      </c>
      <c r="F37" s="41"/>
      <c r="G37" s="41"/>
      <c r="H37" s="41"/>
      <c r="I37" s="41"/>
      <c r="J37" s="35">
        <f t="shared" si="1"/>
        <v>-1</v>
      </c>
      <c r="K37" s="35">
        <f t="shared" si="2"/>
        <v>-1</v>
      </c>
      <c r="L37" s="41">
        <v>6</v>
      </c>
      <c r="M37" s="41">
        <v>300</v>
      </c>
      <c r="N37" s="42"/>
    </row>
    <row r="38" spans="1:14" hidden="1">
      <c r="A38" s="316"/>
      <c r="B38" s="321"/>
      <c r="C38" s="321"/>
      <c r="D38" s="40" t="s">
        <v>34</v>
      </c>
      <c r="E38" s="47">
        <v>100</v>
      </c>
      <c r="F38" s="41"/>
      <c r="G38" s="41"/>
      <c r="H38" s="41"/>
      <c r="I38" s="41"/>
      <c r="J38" s="35">
        <f t="shared" si="1"/>
        <v>-1</v>
      </c>
      <c r="K38" s="35">
        <f t="shared" si="2"/>
        <v>-1</v>
      </c>
      <c r="L38" s="41">
        <v>3</v>
      </c>
      <c r="M38" s="41">
        <v>300</v>
      </c>
      <c r="N38" s="42"/>
    </row>
    <row r="39" spans="1:14" hidden="1">
      <c r="A39" s="316"/>
      <c r="B39" s="321"/>
      <c r="C39" s="321"/>
      <c r="D39" s="40" t="s">
        <v>18</v>
      </c>
      <c r="E39" s="47">
        <v>150</v>
      </c>
      <c r="F39" s="41"/>
      <c r="G39" s="41"/>
      <c r="H39" s="41"/>
      <c r="I39" s="41"/>
      <c r="J39" s="35">
        <f t="shared" si="1"/>
        <v>-1</v>
      </c>
      <c r="K39" s="35">
        <f t="shared" si="2"/>
        <v>-1</v>
      </c>
      <c r="L39" s="41">
        <v>1</v>
      </c>
      <c r="M39" s="41">
        <v>150</v>
      </c>
      <c r="N39" s="42"/>
    </row>
    <row r="40" spans="1:14" hidden="1">
      <c r="A40" s="316"/>
      <c r="B40" s="321"/>
      <c r="C40" s="321"/>
      <c r="D40" s="40" t="s">
        <v>19</v>
      </c>
      <c r="E40" s="47">
        <v>200</v>
      </c>
      <c r="F40" s="41"/>
      <c r="G40" s="41"/>
      <c r="H40" s="41"/>
      <c r="I40" s="41"/>
      <c r="J40" s="35">
        <f t="shared" si="1"/>
        <v>-1</v>
      </c>
      <c r="K40" s="35">
        <f t="shared" si="2"/>
        <v>-1</v>
      </c>
      <c r="L40" s="41">
        <v>1</v>
      </c>
      <c r="M40" s="41">
        <v>200</v>
      </c>
      <c r="N40" s="42"/>
    </row>
    <row r="41" spans="1:14" hidden="1">
      <c r="A41" s="316"/>
      <c r="B41" s="321"/>
      <c r="C41" s="321"/>
      <c r="D41" s="40" t="s">
        <v>38</v>
      </c>
      <c r="E41" s="47">
        <v>250</v>
      </c>
      <c r="F41" s="41"/>
      <c r="G41" s="41"/>
      <c r="H41" s="41"/>
      <c r="I41" s="41"/>
      <c r="J41" s="35" t="str">
        <f t="shared" si="1"/>
        <v>-</v>
      </c>
      <c r="K41" s="35" t="str">
        <f t="shared" si="2"/>
        <v>-</v>
      </c>
      <c r="L41" s="41">
        <v>0</v>
      </c>
      <c r="M41" s="41">
        <v>0</v>
      </c>
      <c r="N41" s="42"/>
    </row>
    <row r="42" spans="1:14" hidden="1">
      <c r="A42" s="316"/>
      <c r="B42" s="321"/>
      <c r="C42" s="321"/>
      <c r="D42" s="55" t="s">
        <v>16</v>
      </c>
      <c r="E42" s="56">
        <v>0</v>
      </c>
      <c r="F42" s="53"/>
      <c r="G42" s="53"/>
      <c r="H42" s="53"/>
      <c r="I42" s="53"/>
      <c r="J42" s="35">
        <f t="shared" si="1"/>
        <v>-1</v>
      </c>
      <c r="K42" s="35">
        <f t="shared" si="2"/>
        <v>-1</v>
      </c>
      <c r="L42" s="53">
        <f>SUM(L37:L41)</f>
        <v>11</v>
      </c>
      <c r="M42" s="53">
        <f>SUM(M37:M41)</f>
        <v>950</v>
      </c>
      <c r="N42" s="42"/>
    </row>
    <row r="43" spans="1:14" hidden="1">
      <c r="A43" s="322" t="s">
        <v>47</v>
      </c>
      <c r="B43" s="323"/>
      <c r="C43" s="323"/>
      <c r="D43" s="323"/>
      <c r="E43" s="43">
        <v>0</v>
      </c>
      <c r="F43" s="39">
        <f>F42+F36</f>
        <v>0</v>
      </c>
      <c r="G43" s="39">
        <f>G42+G36</f>
        <v>0</v>
      </c>
      <c r="H43" s="39">
        <f>H42+H36</f>
        <v>0</v>
      </c>
      <c r="I43" s="39">
        <f>I42+I36</f>
        <v>0</v>
      </c>
      <c r="J43" s="35">
        <f t="shared" si="1"/>
        <v>-1</v>
      </c>
      <c r="K43" s="35">
        <f t="shared" si="2"/>
        <v>-1</v>
      </c>
      <c r="L43" s="39">
        <f>L42+L36</f>
        <v>21</v>
      </c>
      <c r="M43" s="39">
        <f>M42+M36</f>
        <v>15350</v>
      </c>
      <c r="N43" s="42"/>
    </row>
    <row r="44" spans="1:14">
      <c r="A44" s="312" t="s">
        <v>48</v>
      </c>
      <c r="B44" s="307" t="s">
        <v>11</v>
      </c>
      <c r="C44" s="308" t="s">
        <v>12</v>
      </c>
      <c r="D44" s="22" t="s">
        <v>13</v>
      </c>
      <c r="E44" s="32">
        <v>275</v>
      </c>
      <c r="F44" s="32">
        <v>0</v>
      </c>
      <c r="G44" s="32">
        <f>F44*E44</f>
        <v>0</v>
      </c>
      <c r="H44" s="33">
        <f>F44</f>
        <v>0</v>
      </c>
      <c r="I44" s="34">
        <f>H44*E44</f>
        <v>0</v>
      </c>
      <c r="J44" s="35">
        <f t="shared" si="1"/>
        <v>-1</v>
      </c>
      <c r="K44" s="35">
        <f t="shared" si="2"/>
        <v>-1</v>
      </c>
      <c r="L44" s="34">
        <v>3</v>
      </c>
      <c r="M44" s="34">
        <v>650</v>
      </c>
      <c r="N44" s="44"/>
    </row>
    <row r="45" spans="1:14">
      <c r="A45" s="305"/>
      <c r="B45" s="307"/>
      <c r="C45" s="308"/>
      <c r="D45" s="22" t="s">
        <v>15</v>
      </c>
      <c r="E45" s="32">
        <v>180</v>
      </c>
      <c r="F45" s="32"/>
      <c r="G45" s="32"/>
      <c r="H45" s="33">
        <v>0</v>
      </c>
      <c r="I45" s="34">
        <f>H45*E45</f>
        <v>0</v>
      </c>
      <c r="J45" s="35" t="str">
        <f t="shared" si="1"/>
        <v>-</v>
      </c>
      <c r="K45" s="35" t="str">
        <f t="shared" si="2"/>
        <v>-</v>
      </c>
      <c r="L45" s="34"/>
      <c r="M45" s="34"/>
      <c r="N45" s="44"/>
    </row>
    <row r="46" spans="1:14">
      <c r="A46" s="305"/>
      <c r="B46" s="307"/>
      <c r="C46" s="308"/>
      <c r="D46" s="22" t="s">
        <v>37</v>
      </c>
      <c r="E46" s="32">
        <v>420</v>
      </c>
      <c r="F46" s="32">
        <v>0</v>
      </c>
      <c r="G46" s="32">
        <f>F46*E46</f>
        <v>0</v>
      </c>
      <c r="H46" s="33">
        <v>0</v>
      </c>
      <c r="I46" s="34">
        <f>H46*E46</f>
        <v>0</v>
      </c>
      <c r="J46" s="35" t="str">
        <f t="shared" si="1"/>
        <v>-</v>
      </c>
      <c r="K46" s="35" t="str">
        <f t="shared" si="2"/>
        <v>-</v>
      </c>
      <c r="L46" s="34"/>
      <c r="M46" s="34"/>
      <c r="N46" s="42"/>
    </row>
    <row r="47" spans="1:14">
      <c r="A47" s="305"/>
      <c r="B47" s="307"/>
      <c r="C47" s="308"/>
      <c r="D47" s="302" t="s">
        <v>16</v>
      </c>
      <c r="E47" s="302"/>
      <c r="F47" s="54">
        <f>SUM(F44:F46)</f>
        <v>0</v>
      </c>
      <c r="G47" s="54">
        <f>SUM(G44:G46)</f>
        <v>0</v>
      </c>
      <c r="H47" s="54">
        <f>SUM(H44:H46)</f>
        <v>0</v>
      </c>
      <c r="I47" s="54">
        <f>SUM(I44:I46)</f>
        <v>0</v>
      </c>
      <c r="J47" s="35">
        <f t="shared" si="1"/>
        <v>-1</v>
      </c>
      <c r="K47" s="35">
        <f t="shared" si="2"/>
        <v>-1</v>
      </c>
      <c r="L47" s="54">
        <f>SUM(L44:L46)</f>
        <v>3</v>
      </c>
      <c r="M47" s="54">
        <f>SUM(M44:M46)</f>
        <v>650</v>
      </c>
      <c r="N47" s="42"/>
    </row>
    <row r="48" spans="1:14">
      <c r="A48" s="305"/>
      <c r="B48" s="307"/>
      <c r="C48" s="308" t="s">
        <v>17</v>
      </c>
      <c r="D48" s="22" t="s">
        <v>18</v>
      </c>
      <c r="E48" s="32">
        <v>550</v>
      </c>
      <c r="F48" s="32"/>
      <c r="G48" s="32">
        <f>F48*E48</f>
        <v>0</v>
      </c>
      <c r="H48" s="33"/>
      <c r="I48" s="34">
        <f>H48*E48</f>
        <v>0</v>
      </c>
      <c r="J48" s="35">
        <f t="shared" si="1"/>
        <v>-1</v>
      </c>
      <c r="K48" s="35">
        <f t="shared" si="2"/>
        <v>-1</v>
      </c>
      <c r="L48" s="34">
        <v>1</v>
      </c>
      <c r="M48" s="34">
        <v>720</v>
      </c>
      <c r="N48" s="42"/>
    </row>
    <row r="49" spans="1:14">
      <c r="A49" s="305"/>
      <c r="B49" s="307"/>
      <c r="C49" s="308"/>
      <c r="D49" s="22" t="s">
        <v>19</v>
      </c>
      <c r="E49" s="32">
        <v>675</v>
      </c>
      <c r="F49" s="32"/>
      <c r="G49" s="32"/>
      <c r="H49" s="33">
        <v>0</v>
      </c>
      <c r="I49" s="34">
        <f>H49*E49</f>
        <v>0</v>
      </c>
      <c r="J49" s="35">
        <f t="shared" si="1"/>
        <v>-1</v>
      </c>
      <c r="K49" s="35">
        <f t="shared" si="2"/>
        <v>-1</v>
      </c>
      <c r="L49" s="34">
        <v>1</v>
      </c>
      <c r="M49" s="34">
        <v>880</v>
      </c>
      <c r="N49" s="42"/>
    </row>
    <row r="50" spans="1:14">
      <c r="A50" s="305"/>
      <c r="B50" s="307"/>
      <c r="C50" s="308"/>
      <c r="D50" s="22" t="s">
        <v>38</v>
      </c>
      <c r="E50" s="32">
        <v>810</v>
      </c>
      <c r="F50" s="32">
        <v>0</v>
      </c>
      <c r="G50" s="32">
        <f>F50*E50</f>
        <v>0</v>
      </c>
      <c r="H50" s="33">
        <v>0</v>
      </c>
      <c r="I50" s="34">
        <f>H50*E50</f>
        <v>0</v>
      </c>
      <c r="J50" s="35" t="str">
        <f t="shared" si="1"/>
        <v>-</v>
      </c>
      <c r="K50" s="35" t="str">
        <f t="shared" si="2"/>
        <v>-</v>
      </c>
      <c r="L50" s="34">
        <v>0</v>
      </c>
      <c r="M50" s="34">
        <v>0</v>
      </c>
      <c r="N50" s="42"/>
    </row>
    <row r="51" spans="1:14">
      <c r="A51" s="305"/>
      <c r="B51" s="307"/>
      <c r="C51" s="308"/>
      <c r="D51" s="302" t="s">
        <v>16</v>
      </c>
      <c r="E51" s="302"/>
      <c r="F51" s="54">
        <f>SUM(F48:F50)</f>
        <v>0</v>
      </c>
      <c r="G51" s="54">
        <f>SUM(G48:G50)</f>
        <v>0</v>
      </c>
      <c r="H51" s="54">
        <f>SUM(H48:H50)</f>
        <v>0</v>
      </c>
      <c r="I51" s="54">
        <f>SUM(I48:I50)</f>
        <v>0</v>
      </c>
      <c r="J51" s="35">
        <f t="shared" si="1"/>
        <v>-1</v>
      </c>
      <c r="K51" s="35">
        <f t="shared" si="2"/>
        <v>-1</v>
      </c>
      <c r="L51" s="54">
        <f>SUM(L48:L50)</f>
        <v>2</v>
      </c>
      <c r="M51" s="54">
        <f>SUM(M48:M50)</f>
        <v>1600</v>
      </c>
      <c r="N51" s="42"/>
    </row>
    <row r="52" spans="1:14">
      <c r="A52" s="305"/>
      <c r="B52" s="307"/>
      <c r="C52" s="325" t="s">
        <v>20</v>
      </c>
      <c r="D52" s="326"/>
      <c r="E52" s="327"/>
      <c r="F52" s="38">
        <f>SUM(F47,F51)</f>
        <v>0</v>
      </c>
      <c r="G52" s="38">
        <f>SUM(G47,G51)</f>
        <v>0</v>
      </c>
      <c r="H52" s="38">
        <f>H51+H47</f>
        <v>0</v>
      </c>
      <c r="I52" s="38">
        <f>I51+I47</f>
        <v>0</v>
      </c>
      <c r="J52" s="35">
        <f t="shared" si="1"/>
        <v>-1</v>
      </c>
      <c r="K52" s="35">
        <f t="shared" si="2"/>
        <v>-1</v>
      </c>
      <c r="L52" s="38">
        <f>L51+L47</f>
        <v>5</v>
      </c>
      <c r="M52" s="38">
        <f>M51+M47</f>
        <v>2250</v>
      </c>
      <c r="N52" s="42"/>
    </row>
    <row r="53" spans="1:14">
      <c r="A53" s="305"/>
      <c r="B53" s="307" t="s">
        <v>21</v>
      </c>
      <c r="C53" s="308" t="s">
        <v>12</v>
      </c>
      <c r="D53" s="22" t="s">
        <v>13</v>
      </c>
      <c r="E53" s="32">
        <v>190</v>
      </c>
      <c r="F53" s="32">
        <v>0</v>
      </c>
      <c r="G53" s="32">
        <f>F53*E53</f>
        <v>0</v>
      </c>
      <c r="H53" s="33">
        <v>0</v>
      </c>
      <c r="I53" s="34">
        <f>H53*E53</f>
        <v>0</v>
      </c>
      <c r="J53" s="35" t="str">
        <f t="shared" si="1"/>
        <v>-</v>
      </c>
      <c r="K53" s="35" t="str">
        <f t="shared" si="2"/>
        <v>-</v>
      </c>
      <c r="L53" s="34">
        <v>0</v>
      </c>
      <c r="M53" s="34">
        <v>0</v>
      </c>
      <c r="N53" s="48"/>
    </row>
    <row r="54" spans="1:14">
      <c r="A54" s="305"/>
      <c r="B54" s="307"/>
      <c r="C54" s="308"/>
      <c r="D54" s="22" t="s">
        <v>15</v>
      </c>
      <c r="E54" s="32">
        <v>120</v>
      </c>
      <c r="F54" s="32"/>
      <c r="G54" s="32"/>
      <c r="H54" s="33">
        <v>0</v>
      </c>
      <c r="I54" s="34">
        <f>H54*E54</f>
        <v>0</v>
      </c>
      <c r="J54" s="35" t="str">
        <f t="shared" si="1"/>
        <v>-</v>
      </c>
      <c r="K54" s="35" t="str">
        <f t="shared" si="2"/>
        <v>-</v>
      </c>
      <c r="L54" s="34">
        <v>0</v>
      </c>
      <c r="M54" s="34">
        <v>0</v>
      </c>
      <c r="N54" s="48"/>
    </row>
    <row r="55" spans="1:14">
      <c r="A55" s="305"/>
      <c r="B55" s="307"/>
      <c r="C55" s="308"/>
      <c r="D55" s="22" t="s">
        <v>37</v>
      </c>
      <c r="E55" s="32">
        <v>300</v>
      </c>
      <c r="F55" s="32">
        <v>0</v>
      </c>
      <c r="G55" s="32">
        <f>F55*E55</f>
        <v>0</v>
      </c>
      <c r="H55" s="33">
        <v>0</v>
      </c>
      <c r="I55" s="34">
        <f>H55*E55</f>
        <v>0</v>
      </c>
      <c r="J55" s="35" t="str">
        <f t="shared" si="1"/>
        <v>-</v>
      </c>
      <c r="K55" s="35" t="str">
        <f t="shared" si="2"/>
        <v>-</v>
      </c>
      <c r="L55" s="34">
        <v>0</v>
      </c>
      <c r="M55" s="34">
        <v>0</v>
      </c>
      <c r="N55" s="48"/>
    </row>
    <row r="56" spans="1:14">
      <c r="A56" s="305"/>
      <c r="B56" s="307"/>
      <c r="C56" s="308"/>
      <c r="D56" s="302" t="s">
        <v>16</v>
      </c>
      <c r="E56" s="302"/>
      <c r="F56" s="54">
        <f>SUM(F53:F55)</f>
        <v>0</v>
      </c>
      <c r="G56" s="54">
        <f>SUM(G53:G55)</f>
        <v>0</v>
      </c>
      <c r="H56" s="54">
        <f>SUM(H53:H55)</f>
        <v>0</v>
      </c>
      <c r="I56" s="54">
        <f>SUM(I53:I55)</f>
        <v>0</v>
      </c>
      <c r="J56" s="35" t="str">
        <f t="shared" si="1"/>
        <v>-</v>
      </c>
      <c r="K56" s="35" t="str">
        <f t="shared" si="2"/>
        <v>-</v>
      </c>
      <c r="L56" s="54">
        <f>SUM(L53:L55)</f>
        <v>0</v>
      </c>
      <c r="M56" s="54">
        <f>SUM(M53:M55)</f>
        <v>0</v>
      </c>
      <c r="N56" s="48"/>
    </row>
    <row r="57" spans="1:14">
      <c r="A57" s="305"/>
      <c r="B57" s="307"/>
      <c r="C57" s="308" t="s">
        <v>17</v>
      </c>
      <c r="D57" s="22" t="s">
        <v>18</v>
      </c>
      <c r="E57" s="32">
        <v>440</v>
      </c>
      <c r="F57" s="32">
        <v>0</v>
      </c>
      <c r="G57" s="32">
        <f>F57*E57</f>
        <v>0</v>
      </c>
      <c r="H57" s="33">
        <v>0</v>
      </c>
      <c r="I57" s="34">
        <f>H57*E57</f>
        <v>0</v>
      </c>
      <c r="J57" s="35" t="str">
        <f t="shared" si="1"/>
        <v>-</v>
      </c>
      <c r="K57" s="35" t="str">
        <f t="shared" si="2"/>
        <v>-</v>
      </c>
      <c r="L57" s="34">
        <v>0</v>
      </c>
      <c r="M57" s="34">
        <v>0</v>
      </c>
      <c r="N57" s="48"/>
    </row>
    <row r="58" spans="1:14">
      <c r="A58" s="305"/>
      <c r="B58" s="307"/>
      <c r="C58" s="308"/>
      <c r="D58" s="22" t="s">
        <v>19</v>
      </c>
      <c r="E58" s="32">
        <v>520</v>
      </c>
      <c r="F58" s="32">
        <v>0</v>
      </c>
      <c r="G58" s="32">
        <v>0</v>
      </c>
      <c r="H58" s="33">
        <v>0</v>
      </c>
      <c r="I58" s="34">
        <f>H58*E58</f>
        <v>0</v>
      </c>
      <c r="J58" s="35" t="str">
        <f t="shared" si="1"/>
        <v>-</v>
      </c>
      <c r="K58" s="35" t="str">
        <f t="shared" si="2"/>
        <v>-</v>
      </c>
      <c r="L58" s="34">
        <v>0</v>
      </c>
      <c r="M58" s="34">
        <v>0</v>
      </c>
      <c r="N58" s="48"/>
    </row>
    <row r="59" spans="1:14">
      <c r="A59" s="305"/>
      <c r="B59" s="307"/>
      <c r="C59" s="308"/>
      <c r="D59" s="22" t="s">
        <v>38</v>
      </c>
      <c r="E59" s="32">
        <v>600</v>
      </c>
      <c r="F59" s="32">
        <v>0</v>
      </c>
      <c r="G59" s="32">
        <f>F59*E59</f>
        <v>0</v>
      </c>
      <c r="H59" s="33">
        <v>0</v>
      </c>
      <c r="I59" s="34">
        <f>H59*E59</f>
        <v>0</v>
      </c>
      <c r="J59" s="35" t="str">
        <f t="shared" si="1"/>
        <v>-</v>
      </c>
      <c r="K59" s="35" t="str">
        <f t="shared" si="2"/>
        <v>-</v>
      </c>
      <c r="L59" s="34">
        <v>0</v>
      </c>
      <c r="M59" s="34">
        <v>0</v>
      </c>
      <c r="N59" s="48"/>
    </row>
    <row r="60" spans="1:14">
      <c r="A60" s="305"/>
      <c r="B60" s="307"/>
      <c r="C60" s="308"/>
      <c r="D60" s="302" t="s">
        <v>16</v>
      </c>
      <c r="E60" s="302"/>
      <c r="F60" s="54">
        <f>SUM(F57:F59)</f>
        <v>0</v>
      </c>
      <c r="G60" s="54">
        <f>SUM(G57:G59)</f>
        <v>0</v>
      </c>
      <c r="H60" s="54">
        <f>SUM(H57:H59)</f>
        <v>0</v>
      </c>
      <c r="I60" s="54">
        <f>SUM(I57:I59)</f>
        <v>0</v>
      </c>
      <c r="J60" s="35" t="str">
        <f t="shared" si="1"/>
        <v>-</v>
      </c>
      <c r="K60" s="35" t="str">
        <f t="shared" si="2"/>
        <v>-</v>
      </c>
      <c r="L60" s="54">
        <f>SUM(L57:L59)</f>
        <v>0</v>
      </c>
      <c r="M60" s="54">
        <f>SUM(M57:M59)</f>
        <v>0</v>
      </c>
      <c r="N60" s="48"/>
    </row>
    <row r="61" spans="1:14">
      <c r="A61" s="305"/>
      <c r="B61" s="307"/>
      <c r="C61" s="325" t="s">
        <v>20</v>
      </c>
      <c r="D61" s="326"/>
      <c r="E61" s="327"/>
      <c r="F61" s="38">
        <f>SUM(F56,F60)</f>
        <v>0</v>
      </c>
      <c r="G61" s="38">
        <f>SUM(G56,G60)</f>
        <v>0</v>
      </c>
      <c r="H61" s="38">
        <f>H60+H56</f>
        <v>0</v>
      </c>
      <c r="I61" s="38">
        <f>I60+I56</f>
        <v>0</v>
      </c>
      <c r="J61" s="35" t="str">
        <f t="shared" si="1"/>
        <v>-</v>
      </c>
      <c r="K61" s="35" t="str">
        <f t="shared" si="2"/>
        <v>-</v>
      </c>
      <c r="L61" s="38">
        <f>SUM(L56,L60)</f>
        <v>0</v>
      </c>
      <c r="M61" s="38">
        <f>SUM(M56,M60)</f>
        <v>0</v>
      </c>
      <c r="N61" s="48"/>
    </row>
    <row r="62" spans="1:14">
      <c r="A62" s="305"/>
      <c r="B62" s="307" t="s">
        <v>26</v>
      </c>
      <c r="C62" s="308" t="s">
        <v>12</v>
      </c>
      <c r="D62" s="22" t="s">
        <v>13</v>
      </c>
      <c r="E62" s="32">
        <v>190</v>
      </c>
      <c r="F62" s="32">
        <v>0</v>
      </c>
      <c r="G62" s="32">
        <f>F62*E62</f>
        <v>0</v>
      </c>
      <c r="H62" s="33">
        <v>0</v>
      </c>
      <c r="I62" s="34">
        <f>H62*E62</f>
        <v>0</v>
      </c>
      <c r="J62" s="35">
        <f t="shared" si="1"/>
        <v>-1</v>
      </c>
      <c r="K62" s="35">
        <f t="shared" si="2"/>
        <v>-1</v>
      </c>
      <c r="L62" s="34">
        <v>5</v>
      </c>
      <c r="M62" s="34">
        <v>1020</v>
      </c>
      <c r="N62" s="48"/>
    </row>
    <row r="63" spans="1:14">
      <c r="A63" s="305"/>
      <c r="B63" s="307"/>
      <c r="C63" s="308"/>
      <c r="D63" s="22" t="s">
        <v>15</v>
      </c>
      <c r="E63" s="32">
        <v>120</v>
      </c>
      <c r="F63" s="32">
        <v>0</v>
      </c>
      <c r="G63" s="32">
        <v>0</v>
      </c>
      <c r="H63" s="33">
        <v>0</v>
      </c>
      <c r="I63" s="34">
        <f>H63*E63</f>
        <v>0</v>
      </c>
      <c r="J63" s="35" t="str">
        <f t="shared" si="1"/>
        <v>-</v>
      </c>
      <c r="K63" s="35" t="str">
        <f t="shared" si="2"/>
        <v>-</v>
      </c>
      <c r="L63" s="34">
        <v>0</v>
      </c>
      <c r="M63" s="34">
        <v>0</v>
      </c>
      <c r="N63" s="48"/>
    </row>
    <row r="64" spans="1:14">
      <c r="A64" s="305"/>
      <c r="B64" s="307"/>
      <c r="C64" s="308"/>
      <c r="D64" s="22" t="s">
        <v>37</v>
      </c>
      <c r="E64" s="32">
        <v>300</v>
      </c>
      <c r="F64" s="32">
        <v>0</v>
      </c>
      <c r="G64" s="32">
        <f>F64*E64</f>
        <v>0</v>
      </c>
      <c r="H64" s="33">
        <v>0</v>
      </c>
      <c r="I64" s="34">
        <f>H64*E64</f>
        <v>0</v>
      </c>
      <c r="J64" s="35">
        <f t="shared" si="1"/>
        <v>-1</v>
      </c>
      <c r="K64" s="35">
        <f t="shared" si="2"/>
        <v>-1</v>
      </c>
      <c r="L64" s="34">
        <v>5</v>
      </c>
      <c r="M64" s="34">
        <v>1800</v>
      </c>
      <c r="N64" s="48"/>
    </row>
    <row r="65" spans="1:14">
      <c r="A65" s="305"/>
      <c r="B65" s="307"/>
      <c r="C65" s="308"/>
      <c r="D65" s="302" t="s">
        <v>16</v>
      </c>
      <c r="E65" s="302"/>
      <c r="F65" s="54">
        <f>SUM(F62:F64)</f>
        <v>0</v>
      </c>
      <c r="G65" s="54">
        <f>SUM(G62:G64)</f>
        <v>0</v>
      </c>
      <c r="H65" s="54">
        <f>SUM(H62:H64)</f>
        <v>0</v>
      </c>
      <c r="I65" s="54">
        <f>SUM(I62:I64)</f>
        <v>0</v>
      </c>
      <c r="J65" s="35">
        <f t="shared" si="1"/>
        <v>-1</v>
      </c>
      <c r="K65" s="35">
        <f t="shared" si="2"/>
        <v>-1</v>
      </c>
      <c r="L65" s="54">
        <f>SUM(L62:L64)</f>
        <v>10</v>
      </c>
      <c r="M65" s="54">
        <f>SUM(M62:M64)</f>
        <v>2820</v>
      </c>
      <c r="N65" s="48"/>
    </row>
    <row r="66" spans="1:14">
      <c r="A66" s="305"/>
      <c r="B66" s="307"/>
      <c r="C66" s="308" t="s">
        <v>17</v>
      </c>
      <c r="D66" s="22" t="s">
        <v>18</v>
      </c>
      <c r="E66" s="32">
        <v>440</v>
      </c>
      <c r="F66" s="32">
        <v>0</v>
      </c>
      <c r="G66" s="32">
        <f>F66*E66</f>
        <v>0</v>
      </c>
      <c r="H66" s="33">
        <v>0</v>
      </c>
      <c r="I66" s="34">
        <f>H66*E66</f>
        <v>0</v>
      </c>
      <c r="J66" s="35">
        <f t="shared" si="1"/>
        <v>-1</v>
      </c>
      <c r="K66" s="35">
        <f t="shared" si="2"/>
        <v>-1</v>
      </c>
      <c r="L66" s="34">
        <v>3</v>
      </c>
      <c r="M66" s="34">
        <v>1770</v>
      </c>
      <c r="N66" s="48"/>
    </row>
    <row r="67" spans="1:14">
      <c r="A67" s="305"/>
      <c r="B67" s="307"/>
      <c r="C67" s="308"/>
      <c r="D67" s="22" t="s">
        <v>19</v>
      </c>
      <c r="E67" s="32">
        <v>520</v>
      </c>
      <c r="F67" s="32">
        <v>0</v>
      </c>
      <c r="G67" s="32">
        <v>0</v>
      </c>
      <c r="H67" s="33">
        <v>0</v>
      </c>
      <c r="I67" s="34">
        <f>H67*E67</f>
        <v>0</v>
      </c>
      <c r="J67" s="35">
        <f t="shared" si="1"/>
        <v>-1</v>
      </c>
      <c r="K67" s="35">
        <f t="shared" si="2"/>
        <v>-1</v>
      </c>
      <c r="L67" s="34">
        <v>3</v>
      </c>
      <c r="M67" s="34">
        <v>2160</v>
      </c>
      <c r="N67" s="48"/>
    </row>
    <row r="68" spans="1:14">
      <c r="A68" s="305"/>
      <c r="B68" s="307"/>
      <c r="C68" s="308"/>
      <c r="D68" s="22" t="s">
        <v>38</v>
      </c>
      <c r="E68" s="32">
        <v>600</v>
      </c>
      <c r="F68" s="32">
        <v>0</v>
      </c>
      <c r="G68" s="32">
        <f>F68*E68</f>
        <v>0</v>
      </c>
      <c r="H68" s="33">
        <v>0</v>
      </c>
      <c r="I68" s="34">
        <f>H68*E68</f>
        <v>0</v>
      </c>
      <c r="J68" s="35" t="str">
        <f t="shared" si="1"/>
        <v>-</v>
      </c>
      <c r="K68" s="35" t="str">
        <f t="shared" si="2"/>
        <v>-</v>
      </c>
      <c r="L68" s="34">
        <v>0</v>
      </c>
      <c r="M68" s="34">
        <v>0</v>
      </c>
      <c r="N68" s="48"/>
    </row>
    <row r="69" spans="1:14">
      <c r="A69" s="305"/>
      <c r="B69" s="307"/>
      <c r="C69" s="308"/>
      <c r="D69" s="302" t="s">
        <v>16</v>
      </c>
      <c r="E69" s="302"/>
      <c r="F69" s="54">
        <f>SUM(F66:F68)</f>
        <v>0</v>
      </c>
      <c r="G69" s="54">
        <f>SUM(G66:G68)</f>
        <v>0</v>
      </c>
      <c r="H69" s="54">
        <f>SUM(H66:H68)</f>
        <v>0</v>
      </c>
      <c r="I69" s="54">
        <f>SUM(I66:I68)</f>
        <v>0</v>
      </c>
      <c r="J69" s="35">
        <f t="shared" si="1"/>
        <v>-1</v>
      </c>
      <c r="K69" s="35">
        <f t="shared" si="2"/>
        <v>-1</v>
      </c>
      <c r="L69" s="54">
        <f>SUM(L66:L68)</f>
        <v>6</v>
      </c>
      <c r="M69" s="54">
        <f>SUM(M66:M68)</f>
        <v>3930</v>
      </c>
      <c r="N69" s="48"/>
    </row>
    <row r="70" spans="1:14">
      <c r="A70" s="305"/>
      <c r="B70" s="307"/>
      <c r="C70" s="306" t="s">
        <v>20</v>
      </c>
      <c r="D70" s="306"/>
      <c r="E70" s="37">
        <v>0</v>
      </c>
      <c r="F70" s="38">
        <f>SUM(F65,F69)</f>
        <v>0</v>
      </c>
      <c r="G70" s="38">
        <f>SUM(G65,G69)</f>
        <v>0</v>
      </c>
      <c r="H70" s="38">
        <f>H69+H65</f>
        <v>0</v>
      </c>
      <c r="I70" s="38">
        <f>I69+I65</f>
        <v>0</v>
      </c>
      <c r="J70" s="35">
        <f t="shared" si="1"/>
        <v>-1</v>
      </c>
      <c r="K70" s="35">
        <f t="shared" si="2"/>
        <v>-1</v>
      </c>
      <c r="L70" s="38">
        <f>L69+L65</f>
        <v>16</v>
      </c>
      <c r="M70" s="38">
        <f>M69+M65</f>
        <v>6750</v>
      </c>
      <c r="N70" s="48"/>
    </row>
    <row r="71" spans="1:14">
      <c r="A71" s="303" t="s">
        <v>49</v>
      </c>
      <c r="B71" s="304"/>
      <c r="C71" s="304"/>
      <c r="D71" s="304"/>
      <c r="E71" s="304"/>
      <c r="F71" s="39">
        <f>F70+F61+F52</f>
        <v>0</v>
      </c>
      <c r="G71" s="39">
        <f>G70+G61+G52</f>
        <v>0</v>
      </c>
      <c r="H71" s="39">
        <f>H70+H61+H52</f>
        <v>0</v>
      </c>
      <c r="I71" s="39">
        <f>I70+I61+I52</f>
        <v>0</v>
      </c>
      <c r="J71" s="35">
        <f t="shared" si="1"/>
        <v>-1</v>
      </c>
      <c r="K71" s="35">
        <f t="shared" si="2"/>
        <v>-1</v>
      </c>
      <c r="L71" s="39">
        <f>L70+L61+L52</f>
        <v>21</v>
      </c>
      <c r="M71" s="39">
        <f>M70+M61+M52</f>
        <v>9000</v>
      </c>
      <c r="N71" s="48"/>
    </row>
    <row r="72" spans="1:14" ht="16.5" customHeight="1">
      <c r="A72" s="319" t="s">
        <v>51</v>
      </c>
      <c r="B72" s="324" t="s">
        <v>50</v>
      </c>
      <c r="C72" s="317" t="s">
        <v>12</v>
      </c>
      <c r="D72" s="51" t="s">
        <v>52</v>
      </c>
      <c r="E72" s="51"/>
      <c r="F72" s="41"/>
      <c r="G72" s="41"/>
      <c r="H72" s="41"/>
      <c r="I72" s="41"/>
      <c r="J72" s="35">
        <f t="shared" ref="J72:J82" si="3">IFERROR(H72/L72-1,"-")</f>
        <v>-1</v>
      </c>
      <c r="K72" s="35">
        <f t="shared" ref="K72:K82" si="4">IFERROR(I72/M72-1,"-")</f>
        <v>-1</v>
      </c>
      <c r="L72" s="41">
        <v>15</v>
      </c>
      <c r="M72" s="41">
        <f>1690+910</f>
        <v>2600</v>
      </c>
      <c r="N72" s="52"/>
    </row>
    <row r="73" spans="1:14">
      <c r="A73" s="319"/>
      <c r="B73" s="324"/>
      <c r="C73" s="317"/>
      <c r="D73" s="51" t="s">
        <v>53</v>
      </c>
      <c r="E73" s="51"/>
      <c r="F73" s="41"/>
      <c r="G73" s="41"/>
      <c r="H73" s="41"/>
      <c r="I73" s="41"/>
      <c r="J73" s="35" t="str">
        <f t="shared" si="3"/>
        <v>-</v>
      </c>
      <c r="K73" s="35" t="str">
        <f t="shared" si="4"/>
        <v>-</v>
      </c>
      <c r="L73" s="41">
        <v>0</v>
      </c>
      <c r="M73" s="41">
        <v>0</v>
      </c>
      <c r="N73" s="52"/>
    </row>
    <row r="74" spans="1:14">
      <c r="A74" s="319"/>
      <c r="B74" s="324"/>
      <c r="C74" s="317"/>
      <c r="D74" s="51" t="s">
        <v>37</v>
      </c>
      <c r="E74" s="51"/>
      <c r="F74" s="41"/>
      <c r="G74" s="41"/>
      <c r="H74" s="41"/>
      <c r="I74" s="41"/>
      <c r="J74" s="35">
        <f t="shared" si="3"/>
        <v>-1</v>
      </c>
      <c r="K74" s="35">
        <f t="shared" si="4"/>
        <v>-1</v>
      </c>
      <c r="L74" s="41">
        <v>1</v>
      </c>
      <c r="M74" s="41">
        <v>310</v>
      </c>
      <c r="N74" s="52"/>
    </row>
    <row r="75" spans="1:14">
      <c r="A75" s="319"/>
      <c r="B75" s="324"/>
      <c r="C75" s="317"/>
      <c r="D75" s="318" t="s">
        <v>16</v>
      </c>
      <c r="E75" s="318"/>
      <c r="F75" s="53">
        <f>SUM(F72:F74)</f>
        <v>0</v>
      </c>
      <c r="G75" s="53">
        <f>SUM(G72:G74)</f>
        <v>0</v>
      </c>
      <c r="H75" s="53">
        <f>SUM(H72:H74)</f>
        <v>0</v>
      </c>
      <c r="I75" s="53">
        <f>SUM(I72:I74)</f>
        <v>0</v>
      </c>
      <c r="J75" s="35">
        <f t="shared" si="3"/>
        <v>-1</v>
      </c>
      <c r="K75" s="35">
        <f t="shared" si="4"/>
        <v>-1</v>
      </c>
      <c r="L75" s="53">
        <f>SUM(L72:L74)</f>
        <v>16</v>
      </c>
      <c r="M75" s="53">
        <f>SUM(M72:M74)</f>
        <v>2910</v>
      </c>
      <c r="N75" s="52"/>
    </row>
    <row r="76" spans="1:14">
      <c r="A76" s="319"/>
      <c r="B76" s="324"/>
      <c r="C76" s="317" t="s">
        <v>17</v>
      </c>
      <c r="D76" s="51" t="s">
        <v>18</v>
      </c>
      <c r="E76" s="51"/>
      <c r="F76" s="41"/>
      <c r="G76" s="41"/>
      <c r="H76" s="41"/>
      <c r="I76" s="41"/>
      <c r="J76" s="35">
        <f t="shared" si="3"/>
        <v>-1</v>
      </c>
      <c r="K76" s="35">
        <f t="shared" si="4"/>
        <v>-1</v>
      </c>
      <c r="L76" s="41">
        <f>33+4+1+9</f>
        <v>47</v>
      </c>
      <c r="M76" s="41">
        <f>14520+1760+490+4410</f>
        <v>21180</v>
      </c>
      <c r="N76" s="52"/>
    </row>
    <row r="77" spans="1:14">
      <c r="A77" s="319"/>
      <c r="B77" s="324"/>
      <c r="C77" s="317"/>
      <c r="D77" s="51" t="s">
        <v>19</v>
      </c>
      <c r="E77" s="51"/>
      <c r="F77" s="41"/>
      <c r="G77" s="41"/>
      <c r="H77" s="41"/>
      <c r="I77" s="41"/>
      <c r="J77" s="35">
        <f t="shared" si="3"/>
        <v>-1</v>
      </c>
      <c r="K77" s="35">
        <f t="shared" si="4"/>
        <v>-1</v>
      </c>
      <c r="L77" s="41">
        <f>34+6</f>
        <v>40</v>
      </c>
      <c r="M77" s="41">
        <f>17680+3420</f>
        <v>21100</v>
      </c>
      <c r="N77" s="52"/>
    </row>
    <row r="78" spans="1:14">
      <c r="A78" s="319"/>
      <c r="B78" s="324"/>
      <c r="C78" s="317"/>
      <c r="D78" s="51" t="s">
        <v>38</v>
      </c>
      <c r="E78" s="51"/>
      <c r="F78" s="41"/>
      <c r="G78" s="41"/>
      <c r="H78" s="41"/>
      <c r="I78" s="41"/>
      <c r="J78" s="35" t="str">
        <f t="shared" si="3"/>
        <v>-</v>
      </c>
      <c r="K78" s="35" t="str">
        <f t="shared" si="4"/>
        <v>-</v>
      </c>
      <c r="L78" s="41">
        <v>0</v>
      </c>
      <c r="M78" s="41">
        <v>0</v>
      </c>
      <c r="N78" s="52"/>
    </row>
    <row r="79" spans="1:14">
      <c r="A79" s="319"/>
      <c r="B79" s="324"/>
      <c r="C79" s="317"/>
      <c r="D79" s="317" t="s">
        <v>16</v>
      </c>
      <c r="E79" s="317"/>
      <c r="F79" s="41">
        <f>SUM(F76:F78)</f>
        <v>0</v>
      </c>
      <c r="G79" s="41">
        <f>SUM(G76:G78)</f>
        <v>0</v>
      </c>
      <c r="H79" s="41">
        <f>SUM(H76:H78)</f>
        <v>0</v>
      </c>
      <c r="I79" s="41">
        <f>SUM(I76:I78)</f>
        <v>0</v>
      </c>
      <c r="J79" s="35">
        <f t="shared" si="3"/>
        <v>-1</v>
      </c>
      <c r="K79" s="35">
        <f t="shared" si="4"/>
        <v>-1</v>
      </c>
      <c r="L79" s="41">
        <f>SUM(L76:L78)</f>
        <v>87</v>
      </c>
      <c r="M79" s="41">
        <f>SUM(M76:M78)</f>
        <v>42280</v>
      </c>
      <c r="N79" s="52"/>
    </row>
    <row r="80" spans="1:14">
      <c r="A80" s="319"/>
      <c r="B80" s="324"/>
      <c r="C80" s="317" t="s">
        <v>54</v>
      </c>
      <c r="D80" s="51" t="s">
        <v>19</v>
      </c>
      <c r="E80" s="51"/>
      <c r="F80" s="41"/>
      <c r="G80" s="41"/>
      <c r="H80" s="41"/>
      <c r="I80" s="41"/>
      <c r="J80" s="35" t="str">
        <f t="shared" si="3"/>
        <v>-</v>
      </c>
      <c r="K80" s="35" t="str">
        <f t="shared" si="4"/>
        <v>-</v>
      </c>
      <c r="L80" s="41">
        <v>0</v>
      </c>
      <c r="M80" s="41">
        <v>0</v>
      </c>
      <c r="N80" s="52"/>
    </row>
    <row r="81" spans="1:14">
      <c r="A81" s="319"/>
      <c r="B81" s="324"/>
      <c r="C81" s="317"/>
      <c r="D81" s="318" t="s">
        <v>16</v>
      </c>
      <c r="E81" s="318"/>
      <c r="F81" s="53">
        <f>SUM(F80)</f>
        <v>0</v>
      </c>
      <c r="G81" s="53">
        <f>SUM(G80)</f>
        <v>0</v>
      </c>
      <c r="H81" s="53">
        <f>SUM(H80)</f>
        <v>0</v>
      </c>
      <c r="I81" s="53">
        <f>SUM(I80)</f>
        <v>0</v>
      </c>
      <c r="J81" s="35" t="str">
        <f t="shared" si="3"/>
        <v>-</v>
      </c>
      <c r="K81" s="35" t="str">
        <f t="shared" si="4"/>
        <v>-</v>
      </c>
      <c r="L81" s="53">
        <f>SUM(L80)</f>
        <v>0</v>
      </c>
      <c r="M81" s="53">
        <f>SUM(M80)</f>
        <v>0</v>
      </c>
      <c r="N81" s="52"/>
    </row>
    <row r="82" spans="1:14">
      <c r="A82" s="329" t="s">
        <v>20</v>
      </c>
      <c r="B82" s="330"/>
      <c r="C82" s="330"/>
      <c r="D82" s="330"/>
      <c r="E82" s="330"/>
      <c r="F82" s="57">
        <f>F81+F79+F75</f>
        <v>0</v>
      </c>
      <c r="G82" s="57">
        <f>G81+G79+G75</f>
        <v>0</v>
      </c>
      <c r="H82" s="57">
        <f>H81+H79+H75</f>
        <v>0</v>
      </c>
      <c r="I82" s="57">
        <f>I81+I79+I75</f>
        <v>0</v>
      </c>
      <c r="J82" s="35">
        <f t="shared" si="3"/>
        <v>-1</v>
      </c>
      <c r="K82" s="35">
        <f t="shared" si="4"/>
        <v>-1</v>
      </c>
      <c r="L82" s="57">
        <f>L81+L79+L75</f>
        <v>103</v>
      </c>
      <c r="M82" s="57">
        <f>M81+M79+M75</f>
        <v>45190</v>
      </c>
      <c r="N82" s="49"/>
    </row>
    <row r="83" spans="1:14">
      <c r="A83" s="328" t="s">
        <v>55</v>
      </c>
      <c r="B83" s="328"/>
      <c r="C83" s="328"/>
      <c r="D83" s="328"/>
      <c r="E83" s="328"/>
      <c r="F83" s="58">
        <f>F82+F71+F43+F34</f>
        <v>6</v>
      </c>
      <c r="G83" s="58">
        <f>G82+G71+G43+G34</f>
        <v>2790</v>
      </c>
      <c r="H83" s="58">
        <f>H82+H71+H43+H34</f>
        <v>6</v>
      </c>
      <c r="I83" s="58">
        <f>I82+I71+I43+I34</f>
        <v>3310</v>
      </c>
      <c r="J83" s="50"/>
      <c r="K83" s="50"/>
      <c r="L83" s="58">
        <f>L82+L71+L43+L34</f>
        <v>361</v>
      </c>
      <c r="M83" s="58">
        <f>M82+M71+M43+M34</f>
        <v>165770</v>
      </c>
      <c r="N83" s="50"/>
    </row>
  </sheetData>
  <mergeCells count="63">
    <mergeCell ref="B72:B81"/>
    <mergeCell ref="C61:E61"/>
    <mergeCell ref="C52:E52"/>
    <mergeCell ref="A83:E83"/>
    <mergeCell ref="C70:D70"/>
    <mergeCell ref="A71:E71"/>
    <mergeCell ref="A82:E82"/>
    <mergeCell ref="C80:C81"/>
    <mergeCell ref="D81:E81"/>
    <mergeCell ref="D69:E69"/>
    <mergeCell ref="A35:A42"/>
    <mergeCell ref="C72:C75"/>
    <mergeCell ref="D75:E75"/>
    <mergeCell ref="C76:C79"/>
    <mergeCell ref="D79:E79"/>
    <mergeCell ref="A72:A81"/>
    <mergeCell ref="B35:B36"/>
    <mergeCell ref="C35:C36"/>
    <mergeCell ref="B37:B42"/>
    <mergeCell ref="C37:C42"/>
    <mergeCell ref="A43:D43"/>
    <mergeCell ref="C44:C47"/>
    <mergeCell ref="B62:B70"/>
    <mergeCell ref="C62:C65"/>
    <mergeCell ref="D65:E65"/>
    <mergeCell ref="C66:C69"/>
    <mergeCell ref="L5:M5"/>
    <mergeCell ref="N5:N6"/>
    <mergeCell ref="A44:A70"/>
    <mergeCell ref="B44:B52"/>
    <mergeCell ref="D47:E47"/>
    <mergeCell ref="C48:C51"/>
    <mergeCell ref="D51:E51"/>
    <mergeCell ref="B53:B61"/>
    <mergeCell ref="C53:C56"/>
    <mergeCell ref="D56:E56"/>
    <mergeCell ref="C57:C60"/>
    <mergeCell ref="D60:E60"/>
    <mergeCell ref="A5:D6"/>
    <mergeCell ref="E5:E6"/>
    <mergeCell ref="F5:G5"/>
    <mergeCell ref="H5:I5"/>
    <mergeCell ref="J5:K5"/>
    <mergeCell ref="C7:C10"/>
    <mergeCell ref="C11:C14"/>
    <mergeCell ref="C15:D15"/>
    <mergeCell ref="B16:B24"/>
    <mergeCell ref="C16:C19"/>
    <mergeCell ref="C20:C23"/>
    <mergeCell ref="D19:E19"/>
    <mergeCell ref="D23:E23"/>
    <mergeCell ref="D28:E28"/>
    <mergeCell ref="D32:E32"/>
    <mergeCell ref="A34:E34"/>
    <mergeCell ref="A7:A33"/>
    <mergeCell ref="D14:E14"/>
    <mergeCell ref="D10:E10"/>
    <mergeCell ref="C24:D24"/>
    <mergeCell ref="B25:B33"/>
    <mergeCell ref="C25:C28"/>
    <mergeCell ref="C29:C32"/>
    <mergeCell ref="C33:D33"/>
    <mergeCell ref="B7:B1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4BD9-3BF9-4DA7-82DD-DB099DBC1FAC}">
  <dimension ref="A1:N86"/>
  <sheetViews>
    <sheetView showGridLines="0" zoomScale="85" zoomScaleNormal="85" workbookViewId="0">
      <selection activeCell="N83" sqref="A1:N83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spans="1:14" ht="20.25">
      <c r="A1" s="26" t="s">
        <v>56</v>
      </c>
    </row>
    <row r="2" spans="1:14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7" t="s">
        <v>1</v>
      </c>
    </row>
    <row r="5" spans="1:14" ht="23.25" customHeight="1">
      <c r="A5" s="289" t="s">
        <v>2</v>
      </c>
      <c r="B5" s="290"/>
      <c r="C5" s="290"/>
      <c r="D5" s="291"/>
      <c r="E5" s="295" t="s">
        <v>3</v>
      </c>
      <c r="F5" s="342" t="s">
        <v>57</v>
      </c>
      <c r="G5" s="343"/>
      <c r="H5" s="301" t="s">
        <v>39</v>
      </c>
      <c r="I5" s="285"/>
      <c r="J5" s="301" t="s">
        <v>4</v>
      </c>
      <c r="K5" s="285"/>
      <c r="L5" s="301" t="s">
        <v>44</v>
      </c>
      <c r="M5" s="285"/>
      <c r="N5" s="286" t="s">
        <v>5</v>
      </c>
    </row>
    <row r="6" spans="1:14">
      <c r="A6" s="292"/>
      <c r="B6" s="293"/>
      <c r="C6" s="293"/>
      <c r="D6" s="294"/>
      <c r="E6" s="296"/>
      <c r="F6" s="62" t="s">
        <v>6</v>
      </c>
      <c r="G6" s="64" t="s">
        <v>7</v>
      </c>
      <c r="H6" s="63" t="s">
        <v>8</v>
      </c>
      <c r="I6" s="64" t="s">
        <v>9</v>
      </c>
      <c r="J6" s="63" t="s">
        <v>8</v>
      </c>
      <c r="K6" s="64" t="s">
        <v>9</v>
      </c>
      <c r="L6" s="63" t="s">
        <v>8</v>
      </c>
      <c r="M6" s="64" t="s">
        <v>9</v>
      </c>
      <c r="N6" s="287"/>
    </row>
    <row r="7" spans="1:14">
      <c r="A7" s="288" t="s">
        <v>10</v>
      </c>
      <c r="B7" s="331" t="s">
        <v>11</v>
      </c>
      <c r="C7" s="334" t="s">
        <v>12</v>
      </c>
      <c r="D7" s="23" t="s">
        <v>13</v>
      </c>
      <c r="E7" s="68">
        <v>275</v>
      </c>
      <c r="F7" s="13">
        <v>0</v>
      </c>
      <c r="G7" s="68">
        <f>F7*E7</f>
        <v>0</v>
      </c>
      <c r="H7" s="71">
        <f>F7</f>
        <v>0</v>
      </c>
      <c r="I7" s="81">
        <f>H7*E7</f>
        <v>0</v>
      </c>
      <c r="J7" s="19">
        <f t="shared" ref="J7:K43" si="0">IFERROR(H7/L7-1,"-")</f>
        <v>-1</v>
      </c>
      <c r="K7" s="87">
        <f t="shared" si="0"/>
        <v>-1</v>
      </c>
      <c r="L7" s="84">
        <f>3+5</f>
        <v>8</v>
      </c>
      <c r="M7" s="81">
        <f>690+1210</f>
        <v>1900</v>
      </c>
      <c r="N7" s="93" t="s">
        <v>14</v>
      </c>
    </row>
    <row r="8" spans="1:14">
      <c r="A8" s="268"/>
      <c r="B8" s="332"/>
      <c r="C8" s="335"/>
      <c r="D8" s="22" t="s">
        <v>15</v>
      </c>
      <c r="E8" s="69">
        <v>180</v>
      </c>
      <c r="F8" s="12">
        <v>0</v>
      </c>
      <c r="G8" s="69">
        <v>0</v>
      </c>
      <c r="H8" s="72">
        <v>0</v>
      </c>
      <c r="I8" s="82">
        <f>H8*E8</f>
        <v>0</v>
      </c>
      <c r="J8" s="77" t="str">
        <f t="shared" si="0"/>
        <v>-</v>
      </c>
      <c r="K8" s="88" t="str">
        <f t="shared" si="0"/>
        <v>-</v>
      </c>
      <c r="L8" s="85"/>
      <c r="M8" s="82"/>
      <c r="N8" s="94"/>
    </row>
    <row r="9" spans="1:14">
      <c r="A9" s="268"/>
      <c r="B9" s="332"/>
      <c r="C9" s="335"/>
      <c r="D9" s="22" t="s">
        <v>37</v>
      </c>
      <c r="E9" s="69">
        <v>420</v>
      </c>
      <c r="F9" s="12">
        <v>0</v>
      </c>
      <c r="G9" s="69">
        <f>F9*E9</f>
        <v>0</v>
      </c>
      <c r="H9" s="72">
        <v>0</v>
      </c>
      <c r="I9" s="82">
        <f>H9*E9</f>
        <v>0</v>
      </c>
      <c r="J9" s="77">
        <f t="shared" si="0"/>
        <v>-1</v>
      </c>
      <c r="K9" s="88">
        <f t="shared" si="0"/>
        <v>-1</v>
      </c>
      <c r="L9" s="85">
        <v>1</v>
      </c>
      <c r="M9" s="82">
        <v>430</v>
      </c>
      <c r="N9" s="94"/>
    </row>
    <row r="10" spans="1:14">
      <c r="A10" s="268"/>
      <c r="B10" s="332"/>
      <c r="C10" s="336"/>
      <c r="D10" s="337" t="s">
        <v>16</v>
      </c>
      <c r="E10" s="251"/>
      <c r="F10" s="65">
        <f>SUM(F7:F9)</f>
        <v>0</v>
      </c>
      <c r="G10" s="74">
        <f>SUM(G7:G9)</f>
        <v>0</v>
      </c>
      <c r="H10" s="65">
        <f>SUM(H7:H9)</f>
        <v>0</v>
      </c>
      <c r="I10" s="74">
        <f>SUM(I7:I9)</f>
        <v>0</v>
      </c>
      <c r="J10" s="78">
        <f t="shared" si="0"/>
        <v>-1</v>
      </c>
      <c r="K10" s="89">
        <f t="shared" si="0"/>
        <v>-1</v>
      </c>
      <c r="L10" s="65">
        <f>SUM(L7:L9)</f>
        <v>9</v>
      </c>
      <c r="M10" s="74">
        <f>SUM(M7:M9)</f>
        <v>2330</v>
      </c>
      <c r="N10" s="95"/>
    </row>
    <row r="11" spans="1:14">
      <c r="A11" s="268"/>
      <c r="B11" s="332"/>
      <c r="C11" s="338" t="s">
        <v>17</v>
      </c>
      <c r="D11" s="24" t="s">
        <v>18</v>
      </c>
      <c r="E11" s="70">
        <v>550</v>
      </c>
      <c r="F11" s="5">
        <v>1</v>
      </c>
      <c r="G11" s="70">
        <f>F11*E11</f>
        <v>550</v>
      </c>
      <c r="H11" s="73">
        <v>1</v>
      </c>
      <c r="I11" s="83">
        <f>H11*E11</f>
        <v>550</v>
      </c>
      <c r="J11" s="9">
        <f t="shared" si="0"/>
        <v>-0.95</v>
      </c>
      <c r="K11" s="90">
        <f t="shared" si="0"/>
        <v>-0.94811320754716977</v>
      </c>
      <c r="L11" s="86">
        <v>20</v>
      </c>
      <c r="M11" s="83">
        <f>1060+9540</f>
        <v>10600</v>
      </c>
      <c r="N11" s="96"/>
    </row>
    <row r="12" spans="1:14">
      <c r="A12" s="268"/>
      <c r="B12" s="332"/>
      <c r="C12" s="335"/>
      <c r="D12" s="22" t="s">
        <v>19</v>
      </c>
      <c r="E12" s="69">
        <v>675</v>
      </c>
      <c r="F12" s="12"/>
      <c r="G12" s="69"/>
      <c r="H12" s="72">
        <v>0</v>
      </c>
      <c r="I12" s="82">
        <f>H12*E12</f>
        <v>0</v>
      </c>
      <c r="J12" s="77">
        <f t="shared" si="0"/>
        <v>-1</v>
      </c>
      <c r="K12" s="88">
        <f t="shared" si="0"/>
        <v>-1</v>
      </c>
      <c r="L12" s="85">
        <v>28</v>
      </c>
      <c r="M12" s="82">
        <f>9600+7680</f>
        <v>17280</v>
      </c>
      <c r="N12" s="94"/>
    </row>
    <row r="13" spans="1:14">
      <c r="A13" s="268"/>
      <c r="B13" s="332"/>
      <c r="C13" s="335"/>
      <c r="D13" s="22" t="s">
        <v>38</v>
      </c>
      <c r="E13" s="69">
        <v>810</v>
      </c>
      <c r="F13" s="12">
        <v>0</v>
      </c>
      <c r="G13" s="69">
        <f>F13*E13</f>
        <v>0</v>
      </c>
      <c r="H13" s="72">
        <v>0</v>
      </c>
      <c r="I13" s="82">
        <f>H13*E13</f>
        <v>0</v>
      </c>
      <c r="J13" s="77" t="str">
        <f t="shared" si="0"/>
        <v>-</v>
      </c>
      <c r="K13" s="88" t="str">
        <f t="shared" si="0"/>
        <v>-</v>
      </c>
      <c r="L13" s="85">
        <v>0</v>
      </c>
      <c r="M13" s="82">
        <v>0</v>
      </c>
      <c r="N13" s="94"/>
    </row>
    <row r="14" spans="1:14">
      <c r="A14" s="268"/>
      <c r="B14" s="332"/>
      <c r="C14" s="335"/>
      <c r="D14" s="339" t="s">
        <v>16</v>
      </c>
      <c r="E14" s="340"/>
      <c r="F14" s="66">
        <f>SUM(F11:F13)</f>
        <v>1</v>
      </c>
      <c r="G14" s="75">
        <f>SUM(G11:G13)</f>
        <v>550</v>
      </c>
      <c r="H14" s="66">
        <f>SUM(H11:H13)</f>
        <v>1</v>
      </c>
      <c r="I14" s="75">
        <f>SUM(I11:I13)</f>
        <v>550</v>
      </c>
      <c r="J14" s="79">
        <f t="shared" si="0"/>
        <v>-0.97916666666666663</v>
      </c>
      <c r="K14" s="91">
        <f t="shared" si="0"/>
        <v>-0.98027259684361545</v>
      </c>
      <c r="L14" s="66">
        <f>SUM(L11:L13)</f>
        <v>48</v>
      </c>
      <c r="M14" s="75">
        <f>SUM(M11:M13)</f>
        <v>27880</v>
      </c>
      <c r="N14" s="94"/>
    </row>
    <row r="15" spans="1:14">
      <c r="A15" s="268"/>
      <c r="B15" s="333"/>
      <c r="C15" s="358" t="s">
        <v>20</v>
      </c>
      <c r="D15" s="358"/>
      <c r="E15" s="359"/>
      <c r="F15" s="67">
        <f>SUM(F10,F14)</f>
        <v>1</v>
      </c>
      <c r="G15" s="76">
        <f>SUM(G10,G14)</f>
        <v>550</v>
      </c>
      <c r="H15" s="67">
        <f>H14+H10</f>
        <v>1</v>
      </c>
      <c r="I15" s="76">
        <f>I14+I10</f>
        <v>550</v>
      </c>
      <c r="J15" s="80">
        <f t="shared" si="0"/>
        <v>-0.98245614035087714</v>
      </c>
      <c r="K15" s="92">
        <f t="shared" si="0"/>
        <v>-0.98179410791128763</v>
      </c>
      <c r="L15" s="67">
        <f>SUM(L10,L14)</f>
        <v>57</v>
      </c>
      <c r="M15" s="76">
        <f>SUM(M10,M14)</f>
        <v>30210</v>
      </c>
      <c r="N15" s="95"/>
    </row>
    <row r="16" spans="1:14">
      <c r="A16" s="268"/>
      <c r="B16" s="341" t="s">
        <v>21</v>
      </c>
      <c r="C16" s="334" t="s">
        <v>12</v>
      </c>
      <c r="D16" s="23" t="s">
        <v>13</v>
      </c>
      <c r="E16" s="68">
        <v>190</v>
      </c>
      <c r="F16" s="13">
        <v>0</v>
      </c>
      <c r="G16" s="68">
        <f>F16*E16</f>
        <v>0</v>
      </c>
      <c r="H16" s="71">
        <v>0</v>
      </c>
      <c r="I16" s="81">
        <f>H16*E16</f>
        <v>0</v>
      </c>
      <c r="J16" s="19">
        <f t="shared" si="0"/>
        <v>-1</v>
      </c>
      <c r="K16" s="87">
        <f t="shared" si="0"/>
        <v>-1</v>
      </c>
      <c r="L16" s="84">
        <v>5</v>
      </c>
      <c r="M16" s="81">
        <v>670</v>
      </c>
      <c r="N16" s="93" t="s">
        <v>22</v>
      </c>
    </row>
    <row r="17" spans="1:14">
      <c r="A17" s="268"/>
      <c r="B17" s="332"/>
      <c r="C17" s="335"/>
      <c r="D17" s="22" t="s">
        <v>15</v>
      </c>
      <c r="E17" s="69">
        <v>120</v>
      </c>
      <c r="F17" s="12"/>
      <c r="G17" s="69"/>
      <c r="H17" s="72">
        <v>0</v>
      </c>
      <c r="I17" s="82">
        <f>H17*E17</f>
        <v>0</v>
      </c>
      <c r="J17" s="77">
        <f t="shared" si="0"/>
        <v>-1</v>
      </c>
      <c r="K17" s="88">
        <f t="shared" si="0"/>
        <v>-1</v>
      </c>
      <c r="L17" s="85">
        <v>3</v>
      </c>
      <c r="M17" s="82">
        <v>430</v>
      </c>
      <c r="N17" s="94"/>
    </row>
    <row r="18" spans="1:14">
      <c r="A18" s="268"/>
      <c r="B18" s="332"/>
      <c r="C18" s="335"/>
      <c r="D18" s="22" t="s">
        <v>37</v>
      </c>
      <c r="E18" s="69">
        <v>300</v>
      </c>
      <c r="F18" s="12">
        <v>0</v>
      </c>
      <c r="G18" s="69">
        <f>F18*E18</f>
        <v>0</v>
      </c>
      <c r="H18" s="72">
        <v>0</v>
      </c>
      <c r="I18" s="82">
        <f>H18*E18</f>
        <v>0</v>
      </c>
      <c r="J18" s="77" t="str">
        <f t="shared" si="0"/>
        <v>-</v>
      </c>
      <c r="K18" s="88" t="str">
        <f t="shared" si="0"/>
        <v>-</v>
      </c>
      <c r="L18" s="85">
        <v>0</v>
      </c>
      <c r="M18" s="82">
        <v>0</v>
      </c>
      <c r="N18" s="94" t="s">
        <v>23</v>
      </c>
    </row>
    <row r="19" spans="1:14">
      <c r="A19" s="268"/>
      <c r="B19" s="332"/>
      <c r="C19" s="336"/>
      <c r="D19" s="337" t="s">
        <v>16</v>
      </c>
      <c r="E19" s="251"/>
      <c r="F19" s="65">
        <f>SUM(F16:F18)</f>
        <v>0</v>
      </c>
      <c r="G19" s="74">
        <f>SUM(G16:G18)</f>
        <v>0</v>
      </c>
      <c r="H19" s="65">
        <f>SUM(H16:H18)</f>
        <v>0</v>
      </c>
      <c r="I19" s="74">
        <f>SUM(I16:I18)</f>
        <v>0</v>
      </c>
      <c r="J19" s="78">
        <f t="shared" si="0"/>
        <v>-1</v>
      </c>
      <c r="K19" s="89">
        <f t="shared" si="0"/>
        <v>-1</v>
      </c>
      <c r="L19" s="65">
        <f>SUM(L16:L18)</f>
        <v>8</v>
      </c>
      <c r="M19" s="74">
        <f>SUM(M16:M18)</f>
        <v>1100</v>
      </c>
      <c r="N19" s="95" t="s">
        <v>24</v>
      </c>
    </row>
    <row r="20" spans="1:14">
      <c r="A20" s="268"/>
      <c r="B20" s="332"/>
      <c r="C20" s="338" t="s">
        <v>17</v>
      </c>
      <c r="D20" s="24" t="s">
        <v>18</v>
      </c>
      <c r="E20" s="70">
        <v>440</v>
      </c>
      <c r="F20" s="5">
        <v>0</v>
      </c>
      <c r="G20" s="70">
        <f>F20*E20</f>
        <v>0</v>
      </c>
      <c r="H20" s="73">
        <v>0</v>
      </c>
      <c r="I20" s="83">
        <f>H20*E20</f>
        <v>0</v>
      </c>
      <c r="J20" s="9">
        <f t="shared" si="0"/>
        <v>-1</v>
      </c>
      <c r="K20" s="90">
        <f t="shared" si="0"/>
        <v>-1</v>
      </c>
      <c r="L20" s="86">
        <f>16+1</f>
        <v>17</v>
      </c>
      <c r="M20" s="83">
        <f>1320+5720+440</f>
        <v>7480</v>
      </c>
      <c r="N20" s="96" t="s">
        <v>25</v>
      </c>
    </row>
    <row r="21" spans="1:14">
      <c r="A21" s="268"/>
      <c r="B21" s="332"/>
      <c r="C21" s="335"/>
      <c r="D21" s="22" t="s">
        <v>19</v>
      </c>
      <c r="E21" s="69">
        <v>520</v>
      </c>
      <c r="F21" s="12"/>
      <c r="G21" s="69"/>
      <c r="H21" s="72">
        <v>0</v>
      </c>
      <c r="I21" s="82">
        <f>H21*E21</f>
        <v>0</v>
      </c>
      <c r="J21" s="77">
        <f t="shared" si="0"/>
        <v>-1</v>
      </c>
      <c r="K21" s="88">
        <f t="shared" si="0"/>
        <v>-1</v>
      </c>
      <c r="L21" s="85">
        <f>9+4</f>
        <v>13</v>
      </c>
      <c r="M21" s="82">
        <f>1560+3120+2080</f>
        <v>6760</v>
      </c>
      <c r="N21" s="94"/>
    </row>
    <row r="22" spans="1:14">
      <c r="A22" s="268"/>
      <c r="B22" s="332"/>
      <c r="C22" s="335"/>
      <c r="D22" s="22" t="s">
        <v>38</v>
      </c>
      <c r="E22" s="69">
        <v>600</v>
      </c>
      <c r="F22" s="12">
        <v>0</v>
      </c>
      <c r="G22" s="69">
        <f>F22*E22</f>
        <v>0</v>
      </c>
      <c r="H22" s="72">
        <v>0</v>
      </c>
      <c r="I22" s="82">
        <f>H22*E22</f>
        <v>0</v>
      </c>
      <c r="J22" s="77" t="str">
        <f t="shared" si="0"/>
        <v>-</v>
      </c>
      <c r="K22" s="88" t="str">
        <f t="shared" si="0"/>
        <v>-</v>
      </c>
      <c r="L22" s="85"/>
      <c r="M22" s="82"/>
      <c r="N22" s="94"/>
    </row>
    <row r="23" spans="1:14">
      <c r="A23" s="268"/>
      <c r="B23" s="332"/>
      <c r="C23" s="335"/>
      <c r="D23" s="339" t="s">
        <v>16</v>
      </c>
      <c r="E23" s="340"/>
      <c r="F23" s="66">
        <f>SUM(F20:F22)</f>
        <v>0</v>
      </c>
      <c r="G23" s="75">
        <f>SUM(G20:G22)</f>
        <v>0</v>
      </c>
      <c r="H23" s="66">
        <f>SUM(H20:H22)</f>
        <v>0</v>
      </c>
      <c r="I23" s="75">
        <f>SUM(I20:I22)</f>
        <v>0</v>
      </c>
      <c r="J23" s="79">
        <f t="shared" si="0"/>
        <v>-1</v>
      </c>
      <c r="K23" s="91">
        <f t="shared" si="0"/>
        <v>-1</v>
      </c>
      <c r="L23" s="66">
        <f>SUM(L20:L22)</f>
        <v>30</v>
      </c>
      <c r="M23" s="75">
        <f>SUM(M20:M22)</f>
        <v>14240</v>
      </c>
      <c r="N23" s="94"/>
    </row>
    <row r="24" spans="1:14">
      <c r="A24" s="268"/>
      <c r="B24" s="333"/>
      <c r="C24" s="358" t="s">
        <v>20</v>
      </c>
      <c r="D24" s="358"/>
      <c r="E24" s="359"/>
      <c r="F24" s="67">
        <f>SUM(F19,F23)</f>
        <v>0</v>
      </c>
      <c r="G24" s="76">
        <f>SUM(G19,G23)</f>
        <v>0</v>
      </c>
      <c r="H24" s="67">
        <f>H23+H19</f>
        <v>0</v>
      </c>
      <c r="I24" s="76">
        <f>I23+I19</f>
        <v>0</v>
      </c>
      <c r="J24" s="80">
        <f t="shared" si="0"/>
        <v>-1</v>
      </c>
      <c r="K24" s="92">
        <f t="shared" si="0"/>
        <v>-1</v>
      </c>
      <c r="L24" s="67">
        <f>SUM(L19,L23)</f>
        <v>38</v>
      </c>
      <c r="M24" s="76">
        <f>SUM(M19,M23)</f>
        <v>15340</v>
      </c>
      <c r="N24" s="95"/>
    </row>
    <row r="25" spans="1:14">
      <c r="A25" s="268"/>
      <c r="B25" s="341" t="s">
        <v>26</v>
      </c>
      <c r="C25" s="334" t="s">
        <v>12</v>
      </c>
      <c r="D25" s="23" t="s">
        <v>13</v>
      </c>
      <c r="E25" s="68">
        <v>190</v>
      </c>
      <c r="F25" s="13">
        <v>0</v>
      </c>
      <c r="G25" s="68">
        <f>F25*E25</f>
        <v>0</v>
      </c>
      <c r="H25" s="71">
        <v>0</v>
      </c>
      <c r="I25" s="81">
        <f>H25*E25</f>
        <v>0</v>
      </c>
      <c r="J25" s="19">
        <f t="shared" si="0"/>
        <v>-1</v>
      </c>
      <c r="K25" s="87">
        <f t="shared" si="0"/>
        <v>-1</v>
      </c>
      <c r="L25" s="84">
        <v>19</v>
      </c>
      <c r="M25" s="81">
        <v>2910</v>
      </c>
      <c r="N25" s="93" t="s">
        <v>22</v>
      </c>
    </row>
    <row r="26" spans="1:14">
      <c r="A26" s="268"/>
      <c r="B26" s="332"/>
      <c r="C26" s="335"/>
      <c r="D26" s="22" t="s">
        <v>15</v>
      </c>
      <c r="E26" s="69">
        <v>120</v>
      </c>
      <c r="F26" s="12"/>
      <c r="G26" s="69"/>
      <c r="H26" s="72">
        <v>0</v>
      </c>
      <c r="I26" s="82">
        <f>H26*E26</f>
        <v>0</v>
      </c>
      <c r="J26" s="77" t="str">
        <f t="shared" si="0"/>
        <v>-</v>
      </c>
      <c r="K26" s="88" t="str">
        <f t="shared" si="0"/>
        <v>-</v>
      </c>
      <c r="L26" s="85">
        <v>0</v>
      </c>
      <c r="M26" s="82">
        <v>0</v>
      </c>
      <c r="N26" s="94"/>
    </row>
    <row r="27" spans="1:14">
      <c r="A27" s="268"/>
      <c r="B27" s="332"/>
      <c r="C27" s="335"/>
      <c r="D27" s="22" t="s">
        <v>37</v>
      </c>
      <c r="E27" s="69">
        <v>300</v>
      </c>
      <c r="F27" s="12">
        <v>0</v>
      </c>
      <c r="G27" s="69">
        <f>F27*E27</f>
        <v>0</v>
      </c>
      <c r="H27" s="72">
        <v>0</v>
      </c>
      <c r="I27" s="82">
        <f>H27*E27</f>
        <v>0</v>
      </c>
      <c r="J27" s="77">
        <f t="shared" si="0"/>
        <v>-1</v>
      </c>
      <c r="K27" s="88">
        <f t="shared" si="0"/>
        <v>-1</v>
      </c>
      <c r="L27" s="85">
        <v>7</v>
      </c>
      <c r="M27" s="82">
        <v>2170</v>
      </c>
      <c r="N27" s="94" t="s">
        <v>27</v>
      </c>
    </row>
    <row r="28" spans="1:14">
      <c r="A28" s="268"/>
      <c r="B28" s="332"/>
      <c r="C28" s="336"/>
      <c r="D28" s="337" t="s">
        <v>16</v>
      </c>
      <c r="E28" s="251"/>
      <c r="F28" s="65">
        <f>SUM(F25:F27)</f>
        <v>0</v>
      </c>
      <c r="G28" s="74">
        <f>SUM(G25:G27)</f>
        <v>0</v>
      </c>
      <c r="H28" s="65">
        <f>SUM(H25:H27)</f>
        <v>0</v>
      </c>
      <c r="I28" s="74">
        <f>SUM(I25:I27)</f>
        <v>0</v>
      </c>
      <c r="J28" s="78">
        <f t="shared" si="0"/>
        <v>-1</v>
      </c>
      <c r="K28" s="89">
        <f t="shared" si="0"/>
        <v>-1</v>
      </c>
      <c r="L28" s="65">
        <f>SUM(L25:L27)</f>
        <v>26</v>
      </c>
      <c r="M28" s="74">
        <f>SUM(M25:M27)</f>
        <v>5080</v>
      </c>
      <c r="N28" s="95"/>
    </row>
    <row r="29" spans="1:14">
      <c r="A29" s="268"/>
      <c r="B29" s="332"/>
      <c r="C29" s="338" t="s">
        <v>17</v>
      </c>
      <c r="D29" s="24" t="s">
        <v>18</v>
      </c>
      <c r="E29" s="70">
        <v>440</v>
      </c>
      <c r="F29" s="5">
        <v>1</v>
      </c>
      <c r="G29" s="70">
        <f>F29*E29</f>
        <v>440</v>
      </c>
      <c r="H29" s="73">
        <v>1</v>
      </c>
      <c r="I29" s="83">
        <f>H29*E29</f>
        <v>440</v>
      </c>
      <c r="J29" s="9">
        <f t="shared" si="0"/>
        <v>-0.98148148148148151</v>
      </c>
      <c r="K29" s="90">
        <f t="shared" si="0"/>
        <v>-0.98148148148148151</v>
      </c>
      <c r="L29" s="86">
        <v>54</v>
      </c>
      <c r="M29" s="83">
        <v>23760</v>
      </c>
      <c r="N29" s="96"/>
    </row>
    <row r="30" spans="1:14">
      <c r="A30" s="268"/>
      <c r="B30" s="332"/>
      <c r="C30" s="335"/>
      <c r="D30" s="22" t="s">
        <v>19</v>
      </c>
      <c r="E30" s="69">
        <v>520</v>
      </c>
      <c r="F30" s="12">
        <v>1</v>
      </c>
      <c r="G30" s="69"/>
      <c r="H30" s="72">
        <v>1</v>
      </c>
      <c r="I30" s="82">
        <f>H30*E30</f>
        <v>520</v>
      </c>
      <c r="J30" s="77">
        <f t="shared" si="0"/>
        <v>-0.97560975609756095</v>
      </c>
      <c r="K30" s="88">
        <f t="shared" si="0"/>
        <v>-0.97619047619047616</v>
      </c>
      <c r="L30" s="85">
        <v>41</v>
      </c>
      <c r="M30" s="82">
        <v>21840</v>
      </c>
      <c r="N30" s="94"/>
    </row>
    <row r="31" spans="1:14">
      <c r="A31" s="268"/>
      <c r="B31" s="332"/>
      <c r="C31" s="335"/>
      <c r="D31" s="22" t="s">
        <v>38</v>
      </c>
      <c r="E31" s="69">
        <v>600</v>
      </c>
      <c r="F31" s="12">
        <v>3</v>
      </c>
      <c r="G31" s="69">
        <f>F31*E31</f>
        <v>1800</v>
      </c>
      <c r="H31" s="72">
        <v>3</v>
      </c>
      <c r="I31" s="82">
        <f>H31*E31</f>
        <v>1800</v>
      </c>
      <c r="J31" s="77" t="str">
        <f t="shared" si="0"/>
        <v>-</v>
      </c>
      <c r="K31" s="88" t="str">
        <f t="shared" si="0"/>
        <v>-</v>
      </c>
      <c r="L31" s="85">
        <v>0</v>
      </c>
      <c r="M31" s="82">
        <v>0</v>
      </c>
      <c r="N31" s="94"/>
    </row>
    <row r="32" spans="1:14">
      <c r="A32" s="268"/>
      <c r="B32" s="332"/>
      <c r="C32" s="335"/>
      <c r="D32" s="339" t="s">
        <v>16</v>
      </c>
      <c r="E32" s="340"/>
      <c r="F32" s="66">
        <f>SUM(F29:F31)</f>
        <v>5</v>
      </c>
      <c r="G32" s="75">
        <f>SUM(G29:G31)</f>
        <v>2240</v>
      </c>
      <c r="H32" s="66">
        <f>SUM(H29:H31)</f>
        <v>5</v>
      </c>
      <c r="I32" s="75">
        <f>SUM(I29:I31)</f>
        <v>2760</v>
      </c>
      <c r="J32" s="79">
        <f t="shared" si="0"/>
        <v>-0.94736842105263164</v>
      </c>
      <c r="K32" s="91">
        <f t="shared" si="0"/>
        <v>-0.93947368421052635</v>
      </c>
      <c r="L32" s="66">
        <f>SUM(L29:L31)</f>
        <v>95</v>
      </c>
      <c r="M32" s="75">
        <f>SUM(M29:M31)</f>
        <v>45600</v>
      </c>
      <c r="N32" s="94"/>
    </row>
    <row r="33" spans="1:14">
      <c r="A33" s="269"/>
      <c r="B33" s="333"/>
      <c r="C33" s="358" t="s">
        <v>20</v>
      </c>
      <c r="D33" s="358"/>
      <c r="E33" s="359"/>
      <c r="F33" s="67">
        <f>SUM(F28,F32)</f>
        <v>5</v>
      </c>
      <c r="G33" s="76">
        <f>SUM(G28,G32)</f>
        <v>2240</v>
      </c>
      <c r="H33" s="67">
        <f>H32+H28</f>
        <v>5</v>
      </c>
      <c r="I33" s="76">
        <f>I32+I28</f>
        <v>2760</v>
      </c>
      <c r="J33" s="80">
        <f t="shared" si="0"/>
        <v>-0.95867768595041325</v>
      </c>
      <c r="K33" s="92">
        <f t="shared" si="0"/>
        <v>-0.94554064719810571</v>
      </c>
      <c r="L33" s="67">
        <f>SUM(L28,L32)</f>
        <v>121</v>
      </c>
      <c r="M33" s="76">
        <f>SUM(M28,M32)</f>
        <v>50680</v>
      </c>
      <c r="N33" s="95"/>
    </row>
    <row r="34" spans="1:14">
      <c r="A34" s="348" t="s">
        <v>28</v>
      </c>
      <c r="B34" s="349"/>
      <c r="C34" s="349"/>
      <c r="D34" s="349"/>
      <c r="E34" s="350"/>
      <c r="F34" s="112">
        <f>F15+F24+F33</f>
        <v>6</v>
      </c>
      <c r="G34" s="113">
        <f>G15+G24+G33</f>
        <v>2790</v>
      </c>
      <c r="H34" s="112">
        <f>H15+H24+H33</f>
        <v>6</v>
      </c>
      <c r="I34" s="113">
        <f>I15+I24+I33</f>
        <v>3310</v>
      </c>
      <c r="J34" s="123">
        <f t="shared" si="0"/>
        <v>-0.97222222222222221</v>
      </c>
      <c r="K34" s="124">
        <f t="shared" si="0"/>
        <v>-0.9656032422321521</v>
      </c>
      <c r="L34" s="112">
        <f>L33+L24+L15</f>
        <v>216</v>
      </c>
      <c r="M34" s="113">
        <f>M33+M24+M15</f>
        <v>96230</v>
      </c>
      <c r="N34" s="29"/>
    </row>
    <row r="35" spans="1:14" ht="16.5" customHeight="1">
      <c r="A35" s="351" t="s">
        <v>46</v>
      </c>
      <c r="B35" s="353" t="s">
        <v>29</v>
      </c>
      <c r="C35" s="355" t="s">
        <v>30</v>
      </c>
      <c r="D35" s="46" t="s">
        <v>19</v>
      </c>
      <c r="E35" s="104">
        <v>990</v>
      </c>
      <c r="F35" s="98">
        <v>4</v>
      </c>
      <c r="G35" s="114">
        <f>F35*E35</f>
        <v>3960</v>
      </c>
      <c r="H35" s="98">
        <f>F35</f>
        <v>4</v>
      </c>
      <c r="I35" s="114">
        <f>H35*E35</f>
        <v>3960</v>
      </c>
      <c r="J35" s="19">
        <f t="shared" si="0"/>
        <v>-0.6</v>
      </c>
      <c r="K35" s="87">
        <f t="shared" si="0"/>
        <v>-0.72499999999999998</v>
      </c>
      <c r="L35" s="98">
        <v>10</v>
      </c>
      <c r="M35" s="114">
        <v>14400</v>
      </c>
      <c r="N35" s="127"/>
    </row>
    <row r="36" spans="1:14">
      <c r="A36" s="316"/>
      <c r="B36" s="354"/>
      <c r="C36" s="354"/>
      <c r="D36" s="60" t="s">
        <v>16</v>
      </c>
      <c r="E36" s="105">
        <v>0</v>
      </c>
      <c r="F36" s="99"/>
      <c r="G36" s="115"/>
      <c r="H36" s="99"/>
      <c r="I36" s="115"/>
      <c r="J36" s="78">
        <f t="shared" si="0"/>
        <v>-1</v>
      </c>
      <c r="K36" s="89">
        <f t="shared" si="0"/>
        <v>-1</v>
      </c>
      <c r="L36" s="99">
        <f>SUM(L35)</f>
        <v>10</v>
      </c>
      <c r="M36" s="115">
        <f>SUM(M35)</f>
        <v>14400</v>
      </c>
      <c r="N36" s="128"/>
    </row>
    <row r="37" spans="1:14">
      <c r="A37" s="316"/>
      <c r="B37" s="356" t="s">
        <v>31</v>
      </c>
      <c r="C37" s="356" t="s">
        <v>32</v>
      </c>
      <c r="D37" s="45" t="s">
        <v>33</v>
      </c>
      <c r="E37" s="106">
        <v>50</v>
      </c>
      <c r="F37" s="100"/>
      <c r="G37" s="116"/>
      <c r="H37" s="100"/>
      <c r="I37" s="116"/>
      <c r="J37" s="9">
        <f t="shared" si="0"/>
        <v>-1</v>
      </c>
      <c r="K37" s="90">
        <f t="shared" si="0"/>
        <v>-1</v>
      </c>
      <c r="L37" s="100">
        <v>6</v>
      </c>
      <c r="M37" s="116">
        <v>300</v>
      </c>
      <c r="N37" s="129"/>
    </row>
    <row r="38" spans="1:14">
      <c r="A38" s="316"/>
      <c r="B38" s="321"/>
      <c r="C38" s="321"/>
      <c r="D38" s="40" t="s">
        <v>34</v>
      </c>
      <c r="E38" s="107">
        <v>100</v>
      </c>
      <c r="F38" s="101"/>
      <c r="G38" s="117"/>
      <c r="H38" s="101"/>
      <c r="I38" s="117"/>
      <c r="J38" s="77">
        <f t="shared" si="0"/>
        <v>-1</v>
      </c>
      <c r="K38" s="88">
        <f t="shared" si="0"/>
        <v>-1</v>
      </c>
      <c r="L38" s="101">
        <v>3</v>
      </c>
      <c r="M38" s="117">
        <v>300</v>
      </c>
      <c r="N38" s="130"/>
    </row>
    <row r="39" spans="1:14">
      <c r="A39" s="316"/>
      <c r="B39" s="321"/>
      <c r="C39" s="321"/>
      <c r="D39" s="40" t="s">
        <v>18</v>
      </c>
      <c r="E39" s="107">
        <v>150</v>
      </c>
      <c r="F39" s="101"/>
      <c r="G39" s="117"/>
      <c r="H39" s="101"/>
      <c r="I39" s="117"/>
      <c r="J39" s="77">
        <f t="shared" si="0"/>
        <v>-1</v>
      </c>
      <c r="K39" s="88">
        <f t="shared" si="0"/>
        <v>-1</v>
      </c>
      <c r="L39" s="101">
        <v>1</v>
      </c>
      <c r="M39" s="117">
        <v>150</v>
      </c>
      <c r="N39" s="130"/>
    </row>
    <row r="40" spans="1:14">
      <c r="A40" s="316"/>
      <c r="B40" s="321"/>
      <c r="C40" s="321"/>
      <c r="D40" s="40" t="s">
        <v>19</v>
      </c>
      <c r="E40" s="107">
        <v>200</v>
      </c>
      <c r="F40" s="101"/>
      <c r="G40" s="117"/>
      <c r="H40" s="101"/>
      <c r="I40" s="117"/>
      <c r="J40" s="77">
        <f t="shared" si="0"/>
        <v>-1</v>
      </c>
      <c r="K40" s="88">
        <f t="shared" si="0"/>
        <v>-1</v>
      </c>
      <c r="L40" s="101">
        <v>1</v>
      </c>
      <c r="M40" s="117">
        <v>200</v>
      </c>
      <c r="N40" s="130"/>
    </row>
    <row r="41" spans="1:14">
      <c r="A41" s="316"/>
      <c r="B41" s="321"/>
      <c r="C41" s="321"/>
      <c r="D41" s="40" t="s">
        <v>38</v>
      </c>
      <c r="E41" s="107">
        <v>250</v>
      </c>
      <c r="F41" s="101"/>
      <c r="G41" s="117"/>
      <c r="H41" s="101"/>
      <c r="I41" s="117"/>
      <c r="J41" s="77" t="str">
        <f t="shared" si="0"/>
        <v>-</v>
      </c>
      <c r="K41" s="88" t="str">
        <f t="shared" si="0"/>
        <v>-</v>
      </c>
      <c r="L41" s="101">
        <v>0</v>
      </c>
      <c r="M41" s="117">
        <v>0</v>
      </c>
      <c r="N41" s="130"/>
    </row>
    <row r="42" spans="1:14">
      <c r="A42" s="352"/>
      <c r="B42" s="357"/>
      <c r="C42" s="357"/>
      <c r="D42" s="60" t="s">
        <v>16</v>
      </c>
      <c r="E42" s="105">
        <v>0</v>
      </c>
      <c r="F42" s="99"/>
      <c r="G42" s="115"/>
      <c r="H42" s="99"/>
      <c r="I42" s="115"/>
      <c r="J42" s="78">
        <f t="shared" si="0"/>
        <v>-1</v>
      </c>
      <c r="K42" s="89">
        <f t="shared" si="0"/>
        <v>-1</v>
      </c>
      <c r="L42" s="99">
        <f>SUM(L37:L41)</f>
        <v>11</v>
      </c>
      <c r="M42" s="115">
        <f>SUM(M37:M41)</f>
        <v>950</v>
      </c>
      <c r="N42" s="128"/>
    </row>
    <row r="43" spans="1:14">
      <c r="A43" s="376" t="s">
        <v>47</v>
      </c>
      <c r="B43" s="377"/>
      <c r="C43" s="377"/>
      <c r="D43" s="377"/>
      <c r="E43" s="108">
        <v>0</v>
      </c>
      <c r="F43" s="97">
        <f>F42+F36</f>
        <v>0</v>
      </c>
      <c r="G43" s="118">
        <f>G42+G36</f>
        <v>0</v>
      </c>
      <c r="H43" s="97">
        <f>H42+H36</f>
        <v>0</v>
      </c>
      <c r="I43" s="118">
        <f>I42+I36</f>
        <v>0</v>
      </c>
      <c r="J43" s="121">
        <f t="shared" si="0"/>
        <v>-1</v>
      </c>
      <c r="K43" s="125">
        <f t="shared" si="0"/>
        <v>-1</v>
      </c>
      <c r="L43" s="97">
        <f>L42+L36</f>
        <v>21</v>
      </c>
      <c r="M43" s="118">
        <f>M42+M36</f>
        <v>15350</v>
      </c>
      <c r="N43" s="131"/>
    </row>
    <row r="44" spans="1:14">
      <c r="A44" s="378" t="s">
        <v>48</v>
      </c>
      <c r="B44" s="380" t="s">
        <v>11</v>
      </c>
      <c r="C44" s="381" t="s">
        <v>12</v>
      </c>
      <c r="D44" s="23" t="s">
        <v>13</v>
      </c>
      <c r="E44" s="68">
        <v>275</v>
      </c>
      <c r="F44" s="13">
        <v>0</v>
      </c>
      <c r="G44" s="68">
        <f>F44*E44</f>
        <v>0</v>
      </c>
      <c r="H44" s="71">
        <f>F44</f>
        <v>0</v>
      </c>
      <c r="I44" s="81">
        <f>H44*E44</f>
        <v>0</v>
      </c>
      <c r="J44" s="19">
        <f t="shared" ref="J44:K82" si="1">IFERROR(H44/L44-1,"-")</f>
        <v>-1</v>
      </c>
      <c r="K44" s="87">
        <f t="shared" si="1"/>
        <v>-1</v>
      </c>
      <c r="L44" s="84">
        <v>3</v>
      </c>
      <c r="M44" s="81">
        <v>650</v>
      </c>
      <c r="N44" s="132"/>
    </row>
    <row r="45" spans="1:14">
      <c r="A45" s="305"/>
      <c r="B45" s="307"/>
      <c r="C45" s="308"/>
      <c r="D45" s="22" t="s">
        <v>15</v>
      </c>
      <c r="E45" s="69">
        <v>180</v>
      </c>
      <c r="F45" s="12"/>
      <c r="G45" s="69"/>
      <c r="H45" s="72">
        <v>0</v>
      </c>
      <c r="I45" s="82">
        <f>H45*E45</f>
        <v>0</v>
      </c>
      <c r="J45" s="77" t="str">
        <f t="shared" si="1"/>
        <v>-</v>
      </c>
      <c r="K45" s="88" t="str">
        <f t="shared" si="1"/>
        <v>-</v>
      </c>
      <c r="L45" s="85"/>
      <c r="M45" s="82"/>
      <c r="N45" s="133"/>
    </row>
    <row r="46" spans="1:14">
      <c r="A46" s="305"/>
      <c r="B46" s="307"/>
      <c r="C46" s="308"/>
      <c r="D46" s="22" t="s">
        <v>37</v>
      </c>
      <c r="E46" s="69">
        <v>420</v>
      </c>
      <c r="F46" s="12">
        <v>0</v>
      </c>
      <c r="G46" s="69">
        <f>F46*E46</f>
        <v>0</v>
      </c>
      <c r="H46" s="72">
        <v>0</v>
      </c>
      <c r="I46" s="82">
        <f>H46*E46</f>
        <v>0</v>
      </c>
      <c r="J46" s="77" t="str">
        <f t="shared" si="1"/>
        <v>-</v>
      </c>
      <c r="K46" s="88" t="str">
        <f t="shared" si="1"/>
        <v>-</v>
      </c>
      <c r="L46" s="85"/>
      <c r="M46" s="82"/>
      <c r="N46" s="130"/>
    </row>
    <row r="47" spans="1:14">
      <c r="A47" s="305"/>
      <c r="B47" s="307"/>
      <c r="C47" s="347"/>
      <c r="D47" s="337" t="s">
        <v>16</v>
      </c>
      <c r="E47" s="251"/>
      <c r="F47" s="65">
        <f>SUM(F44:F46)</f>
        <v>0</v>
      </c>
      <c r="G47" s="74">
        <f>SUM(G44:G46)</f>
        <v>0</v>
      </c>
      <c r="H47" s="65">
        <f>SUM(H44:H46)</f>
        <v>0</v>
      </c>
      <c r="I47" s="74">
        <f>SUM(I44:I46)</f>
        <v>0</v>
      </c>
      <c r="J47" s="78">
        <f t="shared" si="1"/>
        <v>-1</v>
      </c>
      <c r="K47" s="89">
        <f t="shared" si="1"/>
        <v>-1</v>
      </c>
      <c r="L47" s="65">
        <f>SUM(L44:L46)</f>
        <v>3</v>
      </c>
      <c r="M47" s="74">
        <f>SUM(M44:M46)</f>
        <v>650</v>
      </c>
      <c r="N47" s="128"/>
    </row>
    <row r="48" spans="1:14">
      <c r="A48" s="305"/>
      <c r="B48" s="307"/>
      <c r="C48" s="346" t="s">
        <v>17</v>
      </c>
      <c r="D48" s="24" t="s">
        <v>18</v>
      </c>
      <c r="E48" s="70">
        <v>550</v>
      </c>
      <c r="F48" s="5"/>
      <c r="G48" s="70">
        <f>F48*E48</f>
        <v>0</v>
      </c>
      <c r="H48" s="73"/>
      <c r="I48" s="83">
        <f>H48*E48</f>
        <v>0</v>
      </c>
      <c r="J48" s="9">
        <f t="shared" si="1"/>
        <v>-1</v>
      </c>
      <c r="K48" s="90">
        <f t="shared" si="1"/>
        <v>-1</v>
      </c>
      <c r="L48" s="86">
        <v>1</v>
      </c>
      <c r="M48" s="83">
        <v>720</v>
      </c>
      <c r="N48" s="129"/>
    </row>
    <row r="49" spans="1:14">
      <c r="A49" s="305"/>
      <c r="B49" s="307"/>
      <c r="C49" s="308"/>
      <c r="D49" s="22" t="s">
        <v>19</v>
      </c>
      <c r="E49" s="69">
        <v>675</v>
      </c>
      <c r="F49" s="12"/>
      <c r="G49" s="69"/>
      <c r="H49" s="72">
        <v>0</v>
      </c>
      <c r="I49" s="82">
        <f>H49*E49</f>
        <v>0</v>
      </c>
      <c r="J49" s="77">
        <f t="shared" si="1"/>
        <v>-1</v>
      </c>
      <c r="K49" s="88">
        <f t="shared" si="1"/>
        <v>-1</v>
      </c>
      <c r="L49" s="85">
        <v>1</v>
      </c>
      <c r="M49" s="82">
        <v>880</v>
      </c>
      <c r="N49" s="130"/>
    </row>
    <row r="50" spans="1:14">
      <c r="A50" s="305"/>
      <c r="B50" s="307"/>
      <c r="C50" s="308"/>
      <c r="D50" s="22" t="s">
        <v>38</v>
      </c>
      <c r="E50" s="69">
        <v>810</v>
      </c>
      <c r="F50" s="12">
        <v>0</v>
      </c>
      <c r="G50" s="69">
        <f>F50*E50</f>
        <v>0</v>
      </c>
      <c r="H50" s="72">
        <v>0</v>
      </c>
      <c r="I50" s="82">
        <f>H50*E50</f>
        <v>0</v>
      </c>
      <c r="J50" s="77" t="str">
        <f t="shared" si="1"/>
        <v>-</v>
      </c>
      <c r="K50" s="88" t="str">
        <f t="shared" si="1"/>
        <v>-</v>
      </c>
      <c r="L50" s="85">
        <v>0</v>
      </c>
      <c r="M50" s="82">
        <v>0</v>
      </c>
      <c r="N50" s="130"/>
    </row>
    <row r="51" spans="1:14">
      <c r="A51" s="305"/>
      <c r="B51" s="307"/>
      <c r="C51" s="347"/>
      <c r="D51" s="337" t="s">
        <v>16</v>
      </c>
      <c r="E51" s="251"/>
      <c r="F51" s="65">
        <f>SUM(F48:F50)</f>
        <v>0</v>
      </c>
      <c r="G51" s="74">
        <f>SUM(G48:G50)</f>
        <v>0</v>
      </c>
      <c r="H51" s="65">
        <f>SUM(H48:H50)</f>
        <v>0</v>
      </c>
      <c r="I51" s="74">
        <f>SUM(I48:I50)</f>
        <v>0</v>
      </c>
      <c r="J51" s="78">
        <f t="shared" si="1"/>
        <v>-1</v>
      </c>
      <c r="K51" s="89">
        <f t="shared" si="1"/>
        <v>-1</v>
      </c>
      <c r="L51" s="65">
        <f>SUM(L48:L50)</f>
        <v>2</v>
      </c>
      <c r="M51" s="74">
        <f>SUM(M48:M50)</f>
        <v>1600</v>
      </c>
      <c r="N51" s="128"/>
    </row>
    <row r="52" spans="1:14">
      <c r="A52" s="305"/>
      <c r="B52" s="345"/>
      <c r="C52" s="368" t="s">
        <v>20</v>
      </c>
      <c r="D52" s="369"/>
      <c r="E52" s="370"/>
      <c r="F52" s="102">
        <f>SUM(F47,F51)</f>
        <v>0</v>
      </c>
      <c r="G52" s="119">
        <f>SUM(G47,G51)</f>
        <v>0</v>
      </c>
      <c r="H52" s="102">
        <f>H51+H47</f>
        <v>0</v>
      </c>
      <c r="I52" s="119">
        <f>I51+I47</f>
        <v>0</v>
      </c>
      <c r="J52" s="122">
        <f t="shared" si="1"/>
        <v>-1</v>
      </c>
      <c r="K52" s="126">
        <f t="shared" si="1"/>
        <v>-1</v>
      </c>
      <c r="L52" s="102">
        <f>L51+L47</f>
        <v>5</v>
      </c>
      <c r="M52" s="119">
        <f>M51+M47</f>
        <v>2250</v>
      </c>
      <c r="N52" s="131"/>
    </row>
    <row r="53" spans="1:14">
      <c r="A53" s="305"/>
      <c r="B53" s="344" t="s">
        <v>21</v>
      </c>
      <c r="C53" s="346" t="s">
        <v>12</v>
      </c>
      <c r="D53" s="24" t="s">
        <v>13</v>
      </c>
      <c r="E53" s="70">
        <v>190</v>
      </c>
      <c r="F53" s="5">
        <v>0</v>
      </c>
      <c r="G53" s="70">
        <f>F53*E53</f>
        <v>0</v>
      </c>
      <c r="H53" s="73">
        <v>0</v>
      </c>
      <c r="I53" s="83">
        <f>H53*E53</f>
        <v>0</v>
      </c>
      <c r="J53" s="9" t="str">
        <f t="shared" si="1"/>
        <v>-</v>
      </c>
      <c r="K53" s="90" t="str">
        <f t="shared" si="1"/>
        <v>-</v>
      </c>
      <c r="L53" s="86">
        <v>0</v>
      </c>
      <c r="M53" s="83">
        <v>0</v>
      </c>
      <c r="N53" s="134"/>
    </row>
    <row r="54" spans="1:14">
      <c r="A54" s="305"/>
      <c r="B54" s="307"/>
      <c r="C54" s="308"/>
      <c r="D54" s="22" t="s">
        <v>15</v>
      </c>
      <c r="E54" s="69">
        <v>120</v>
      </c>
      <c r="F54" s="12"/>
      <c r="G54" s="69"/>
      <c r="H54" s="72">
        <v>0</v>
      </c>
      <c r="I54" s="82">
        <f>H54*E54</f>
        <v>0</v>
      </c>
      <c r="J54" s="77" t="str">
        <f t="shared" si="1"/>
        <v>-</v>
      </c>
      <c r="K54" s="88" t="str">
        <f t="shared" si="1"/>
        <v>-</v>
      </c>
      <c r="L54" s="85">
        <v>0</v>
      </c>
      <c r="M54" s="82">
        <v>0</v>
      </c>
      <c r="N54" s="135"/>
    </row>
    <row r="55" spans="1:14">
      <c r="A55" s="305"/>
      <c r="B55" s="307"/>
      <c r="C55" s="308"/>
      <c r="D55" s="22" t="s">
        <v>37</v>
      </c>
      <c r="E55" s="69">
        <v>300</v>
      </c>
      <c r="F55" s="12">
        <v>0</v>
      </c>
      <c r="G55" s="69">
        <f>F55*E55</f>
        <v>0</v>
      </c>
      <c r="H55" s="72">
        <v>0</v>
      </c>
      <c r="I55" s="82">
        <f>H55*E55</f>
        <v>0</v>
      </c>
      <c r="J55" s="77" t="str">
        <f t="shared" si="1"/>
        <v>-</v>
      </c>
      <c r="K55" s="88" t="str">
        <f t="shared" si="1"/>
        <v>-</v>
      </c>
      <c r="L55" s="85">
        <v>0</v>
      </c>
      <c r="M55" s="82">
        <v>0</v>
      </c>
      <c r="N55" s="135"/>
    </row>
    <row r="56" spans="1:14">
      <c r="A56" s="305"/>
      <c r="B56" s="307"/>
      <c r="C56" s="347"/>
      <c r="D56" s="337" t="s">
        <v>16</v>
      </c>
      <c r="E56" s="251"/>
      <c r="F56" s="65">
        <f>SUM(F53:F55)</f>
        <v>0</v>
      </c>
      <c r="G56" s="74">
        <f>SUM(G53:G55)</f>
        <v>0</v>
      </c>
      <c r="H56" s="65">
        <f>SUM(H53:H55)</f>
        <v>0</v>
      </c>
      <c r="I56" s="74">
        <f>SUM(I53:I55)</f>
        <v>0</v>
      </c>
      <c r="J56" s="78" t="str">
        <f t="shared" si="1"/>
        <v>-</v>
      </c>
      <c r="K56" s="89" t="str">
        <f t="shared" si="1"/>
        <v>-</v>
      </c>
      <c r="L56" s="65">
        <f>SUM(L53:L55)</f>
        <v>0</v>
      </c>
      <c r="M56" s="74">
        <f>SUM(M53:M55)</f>
        <v>0</v>
      </c>
      <c r="N56" s="136"/>
    </row>
    <row r="57" spans="1:14">
      <c r="A57" s="305"/>
      <c r="B57" s="307"/>
      <c r="C57" s="346" t="s">
        <v>17</v>
      </c>
      <c r="D57" s="24" t="s">
        <v>18</v>
      </c>
      <c r="E57" s="70">
        <v>440</v>
      </c>
      <c r="F57" s="5">
        <v>0</v>
      </c>
      <c r="G57" s="70">
        <f>F57*E57</f>
        <v>0</v>
      </c>
      <c r="H57" s="73">
        <v>0</v>
      </c>
      <c r="I57" s="83">
        <f>H57*E57</f>
        <v>0</v>
      </c>
      <c r="J57" s="9" t="str">
        <f t="shared" si="1"/>
        <v>-</v>
      </c>
      <c r="K57" s="90" t="str">
        <f t="shared" si="1"/>
        <v>-</v>
      </c>
      <c r="L57" s="86">
        <v>0</v>
      </c>
      <c r="M57" s="83">
        <v>0</v>
      </c>
      <c r="N57" s="134"/>
    </row>
    <row r="58" spans="1:14">
      <c r="A58" s="305"/>
      <c r="B58" s="307"/>
      <c r="C58" s="308"/>
      <c r="D58" s="22" t="s">
        <v>19</v>
      </c>
      <c r="E58" s="69">
        <v>520</v>
      </c>
      <c r="F58" s="12">
        <v>0</v>
      </c>
      <c r="G58" s="69">
        <v>0</v>
      </c>
      <c r="H58" s="72">
        <v>0</v>
      </c>
      <c r="I58" s="82">
        <f>H58*E58</f>
        <v>0</v>
      </c>
      <c r="J58" s="77" t="str">
        <f t="shared" si="1"/>
        <v>-</v>
      </c>
      <c r="K58" s="88" t="str">
        <f t="shared" si="1"/>
        <v>-</v>
      </c>
      <c r="L58" s="85">
        <v>0</v>
      </c>
      <c r="M58" s="82">
        <v>0</v>
      </c>
      <c r="N58" s="135"/>
    </row>
    <row r="59" spans="1:14">
      <c r="A59" s="305"/>
      <c r="B59" s="307"/>
      <c r="C59" s="308"/>
      <c r="D59" s="22" t="s">
        <v>38</v>
      </c>
      <c r="E59" s="69">
        <v>600</v>
      </c>
      <c r="F59" s="12">
        <v>0</v>
      </c>
      <c r="G59" s="69">
        <f>F59*E59</f>
        <v>0</v>
      </c>
      <c r="H59" s="72">
        <v>0</v>
      </c>
      <c r="I59" s="82">
        <f>H59*E59</f>
        <v>0</v>
      </c>
      <c r="J59" s="77" t="str">
        <f t="shared" si="1"/>
        <v>-</v>
      </c>
      <c r="K59" s="88" t="str">
        <f t="shared" si="1"/>
        <v>-</v>
      </c>
      <c r="L59" s="85">
        <v>0</v>
      </c>
      <c r="M59" s="82">
        <v>0</v>
      </c>
      <c r="N59" s="135"/>
    </row>
    <row r="60" spans="1:14">
      <c r="A60" s="305"/>
      <c r="B60" s="307"/>
      <c r="C60" s="347"/>
      <c r="D60" s="337" t="s">
        <v>16</v>
      </c>
      <c r="E60" s="251"/>
      <c r="F60" s="65">
        <f>SUM(F57:F59)</f>
        <v>0</v>
      </c>
      <c r="G60" s="74">
        <f>SUM(G57:G59)</f>
        <v>0</v>
      </c>
      <c r="H60" s="65">
        <f>SUM(H57:H59)</f>
        <v>0</v>
      </c>
      <c r="I60" s="74">
        <f>SUM(I57:I59)</f>
        <v>0</v>
      </c>
      <c r="J60" s="78" t="str">
        <f t="shared" si="1"/>
        <v>-</v>
      </c>
      <c r="K60" s="89" t="str">
        <f t="shared" si="1"/>
        <v>-</v>
      </c>
      <c r="L60" s="65">
        <f>SUM(L57:L59)</f>
        <v>0</v>
      </c>
      <c r="M60" s="74">
        <f>SUM(M57:M59)</f>
        <v>0</v>
      </c>
      <c r="N60" s="136"/>
    </row>
    <row r="61" spans="1:14">
      <c r="A61" s="305"/>
      <c r="B61" s="345"/>
      <c r="C61" s="368" t="s">
        <v>20</v>
      </c>
      <c r="D61" s="369"/>
      <c r="E61" s="370"/>
      <c r="F61" s="102">
        <f>SUM(F56,F60)</f>
        <v>0</v>
      </c>
      <c r="G61" s="119">
        <f>SUM(G56,G60)</f>
        <v>0</v>
      </c>
      <c r="H61" s="102">
        <f>H60+H56</f>
        <v>0</v>
      </c>
      <c r="I61" s="119">
        <f>I60+I56</f>
        <v>0</v>
      </c>
      <c r="J61" s="122" t="str">
        <f t="shared" si="1"/>
        <v>-</v>
      </c>
      <c r="K61" s="126" t="str">
        <f t="shared" si="1"/>
        <v>-</v>
      </c>
      <c r="L61" s="102">
        <f>SUM(L56,L60)</f>
        <v>0</v>
      </c>
      <c r="M61" s="119">
        <f>SUM(M56,M60)</f>
        <v>0</v>
      </c>
      <c r="N61" s="137"/>
    </row>
    <row r="62" spans="1:14">
      <c r="A62" s="305"/>
      <c r="B62" s="344" t="s">
        <v>26</v>
      </c>
      <c r="C62" s="346" t="s">
        <v>12</v>
      </c>
      <c r="D62" s="24" t="s">
        <v>13</v>
      </c>
      <c r="E62" s="70">
        <v>190</v>
      </c>
      <c r="F62" s="5">
        <v>0</v>
      </c>
      <c r="G62" s="70">
        <f>F62*E62</f>
        <v>0</v>
      </c>
      <c r="H62" s="73">
        <v>0</v>
      </c>
      <c r="I62" s="83">
        <f>H62*E62</f>
        <v>0</v>
      </c>
      <c r="J62" s="9">
        <f t="shared" si="1"/>
        <v>-1</v>
      </c>
      <c r="K62" s="90">
        <f t="shared" si="1"/>
        <v>-1</v>
      </c>
      <c r="L62" s="86">
        <v>5</v>
      </c>
      <c r="M62" s="83">
        <v>1020</v>
      </c>
      <c r="N62" s="134"/>
    </row>
    <row r="63" spans="1:14">
      <c r="A63" s="305"/>
      <c r="B63" s="307"/>
      <c r="C63" s="308"/>
      <c r="D63" s="22" t="s">
        <v>15</v>
      </c>
      <c r="E63" s="69">
        <v>120</v>
      </c>
      <c r="F63" s="12">
        <v>0</v>
      </c>
      <c r="G63" s="69">
        <v>0</v>
      </c>
      <c r="H63" s="72">
        <v>0</v>
      </c>
      <c r="I63" s="82">
        <f>H63*E63</f>
        <v>0</v>
      </c>
      <c r="J63" s="77" t="str">
        <f t="shared" si="1"/>
        <v>-</v>
      </c>
      <c r="K63" s="88" t="str">
        <f t="shared" si="1"/>
        <v>-</v>
      </c>
      <c r="L63" s="85">
        <v>0</v>
      </c>
      <c r="M63" s="82">
        <v>0</v>
      </c>
      <c r="N63" s="135"/>
    </row>
    <row r="64" spans="1:14">
      <c r="A64" s="305"/>
      <c r="B64" s="307"/>
      <c r="C64" s="308"/>
      <c r="D64" s="22" t="s">
        <v>37</v>
      </c>
      <c r="E64" s="69">
        <v>300</v>
      </c>
      <c r="F64" s="12">
        <v>0</v>
      </c>
      <c r="G64" s="69">
        <f>F64*E64</f>
        <v>0</v>
      </c>
      <c r="H64" s="72">
        <v>0</v>
      </c>
      <c r="I64" s="82">
        <f>H64*E64</f>
        <v>0</v>
      </c>
      <c r="J64" s="77">
        <f t="shared" si="1"/>
        <v>-1</v>
      </c>
      <c r="K64" s="88">
        <f t="shared" si="1"/>
        <v>-1</v>
      </c>
      <c r="L64" s="85">
        <v>5</v>
      </c>
      <c r="M64" s="82">
        <v>1800</v>
      </c>
      <c r="N64" s="135"/>
    </row>
    <row r="65" spans="1:14">
      <c r="A65" s="305"/>
      <c r="B65" s="307"/>
      <c r="C65" s="347"/>
      <c r="D65" s="337" t="s">
        <v>16</v>
      </c>
      <c r="E65" s="251"/>
      <c r="F65" s="65">
        <f>SUM(F62:F64)</f>
        <v>0</v>
      </c>
      <c r="G65" s="74">
        <f>SUM(G62:G64)</f>
        <v>0</v>
      </c>
      <c r="H65" s="65">
        <f>SUM(H62:H64)</f>
        <v>0</v>
      </c>
      <c r="I65" s="74">
        <f>SUM(I62:I64)</f>
        <v>0</v>
      </c>
      <c r="J65" s="78">
        <f t="shared" si="1"/>
        <v>-1</v>
      </c>
      <c r="K65" s="89">
        <f t="shared" si="1"/>
        <v>-1</v>
      </c>
      <c r="L65" s="65">
        <f>SUM(L62:L64)</f>
        <v>10</v>
      </c>
      <c r="M65" s="74">
        <f>SUM(M62:M64)</f>
        <v>2820</v>
      </c>
      <c r="N65" s="136"/>
    </row>
    <row r="66" spans="1:14">
      <c r="A66" s="305"/>
      <c r="B66" s="307"/>
      <c r="C66" s="346" t="s">
        <v>17</v>
      </c>
      <c r="D66" s="24" t="s">
        <v>18</v>
      </c>
      <c r="E66" s="70">
        <v>440</v>
      </c>
      <c r="F66" s="5">
        <v>0</v>
      </c>
      <c r="G66" s="70">
        <f>F66*E66</f>
        <v>0</v>
      </c>
      <c r="H66" s="73">
        <v>0</v>
      </c>
      <c r="I66" s="83">
        <f>H66*E66</f>
        <v>0</v>
      </c>
      <c r="J66" s="9">
        <f t="shared" si="1"/>
        <v>-1</v>
      </c>
      <c r="K66" s="90">
        <f t="shared" si="1"/>
        <v>-1</v>
      </c>
      <c r="L66" s="86">
        <v>3</v>
      </c>
      <c r="M66" s="83">
        <v>1770</v>
      </c>
      <c r="N66" s="134"/>
    </row>
    <row r="67" spans="1:14">
      <c r="A67" s="305"/>
      <c r="B67" s="307"/>
      <c r="C67" s="308"/>
      <c r="D67" s="22" t="s">
        <v>19</v>
      </c>
      <c r="E67" s="69">
        <v>520</v>
      </c>
      <c r="F67" s="12">
        <v>0</v>
      </c>
      <c r="G67" s="69">
        <v>0</v>
      </c>
      <c r="H67" s="72">
        <v>0</v>
      </c>
      <c r="I67" s="82">
        <f>H67*E67</f>
        <v>0</v>
      </c>
      <c r="J67" s="77">
        <f t="shared" si="1"/>
        <v>-1</v>
      </c>
      <c r="K67" s="88">
        <f t="shared" si="1"/>
        <v>-1</v>
      </c>
      <c r="L67" s="85">
        <v>3</v>
      </c>
      <c r="M67" s="82">
        <v>2160</v>
      </c>
      <c r="N67" s="135"/>
    </row>
    <row r="68" spans="1:14">
      <c r="A68" s="305"/>
      <c r="B68" s="307"/>
      <c r="C68" s="308"/>
      <c r="D68" s="22" t="s">
        <v>38</v>
      </c>
      <c r="E68" s="69">
        <v>600</v>
      </c>
      <c r="F68" s="12">
        <v>0</v>
      </c>
      <c r="G68" s="69">
        <f>F68*E68</f>
        <v>0</v>
      </c>
      <c r="H68" s="72">
        <v>0</v>
      </c>
      <c r="I68" s="82">
        <f>H68*E68</f>
        <v>0</v>
      </c>
      <c r="J68" s="77" t="str">
        <f t="shared" si="1"/>
        <v>-</v>
      </c>
      <c r="K68" s="88" t="str">
        <f t="shared" si="1"/>
        <v>-</v>
      </c>
      <c r="L68" s="85">
        <v>0</v>
      </c>
      <c r="M68" s="82">
        <v>0</v>
      </c>
      <c r="N68" s="135"/>
    </row>
    <row r="69" spans="1:14">
      <c r="A69" s="305"/>
      <c r="B69" s="307"/>
      <c r="C69" s="347"/>
      <c r="D69" s="337" t="s">
        <v>16</v>
      </c>
      <c r="E69" s="251"/>
      <c r="F69" s="65">
        <f>SUM(F66:F68)</f>
        <v>0</v>
      </c>
      <c r="G69" s="74">
        <f>SUM(G66:G68)</f>
        <v>0</v>
      </c>
      <c r="H69" s="65">
        <f>SUM(H66:H68)</f>
        <v>0</v>
      </c>
      <c r="I69" s="74">
        <f>SUM(I66:I68)</f>
        <v>0</v>
      </c>
      <c r="J69" s="78">
        <f t="shared" si="1"/>
        <v>-1</v>
      </c>
      <c r="K69" s="89">
        <f t="shared" si="1"/>
        <v>-1</v>
      </c>
      <c r="L69" s="65">
        <f>SUM(L66:L68)</f>
        <v>6</v>
      </c>
      <c r="M69" s="74">
        <f>SUM(M66:M68)</f>
        <v>3930</v>
      </c>
      <c r="N69" s="136"/>
    </row>
    <row r="70" spans="1:14">
      <c r="A70" s="379"/>
      <c r="B70" s="345"/>
      <c r="C70" s="368" t="s">
        <v>20</v>
      </c>
      <c r="D70" s="369"/>
      <c r="E70" s="370"/>
      <c r="F70" s="102">
        <f>SUM(F65,F69)</f>
        <v>0</v>
      </c>
      <c r="G70" s="119">
        <f>SUM(G65,G69)</f>
        <v>0</v>
      </c>
      <c r="H70" s="102">
        <f>H69+H65</f>
        <v>0</v>
      </c>
      <c r="I70" s="119">
        <f>I69+I65</f>
        <v>0</v>
      </c>
      <c r="J70" s="122">
        <f t="shared" si="1"/>
        <v>-1</v>
      </c>
      <c r="K70" s="126">
        <f t="shared" si="1"/>
        <v>-1</v>
      </c>
      <c r="L70" s="102">
        <f>L69+L65</f>
        <v>16</v>
      </c>
      <c r="M70" s="119">
        <f>M69+M65</f>
        <v>6750</v>
      </c>
      <c r="N70" s="137"/>
    </row>
    <row r="71" spans="1:14">
      <c r="A71" s="239" t="s">
        <v>49</v>
      </c>
      <c r="B71" s="240"/>
      <c r="C71" s="240"/>
      <c r="D71" s="240"/>
      <c r="E71" s="241"/>
      <c r="F71" s="97">
        <f>F70+F61+F52</f>
        <v>0</v>
      </c>
      <c r="G71" s="118">
        <f>G70+G61+G52</f>
        <v>0</v>
      </c>
      <c r="H71" s="97">
        <f>H70+H61+H52</f>
        <v>0</v>
      </c>
      <c r="I71" s="118">
        <f>I70+I61+I52</f>
        <v>0</v>
      </c>
      <c r="J71" s="121">
        <f t="shared" si="1"/>
        <v>-1</v>
      </c>
      <c r="K71" s="125">
        <f t="shared" si="1"/>
        <v>-1</v>
      </c>
      <c r="L71" s="97">
        <f>L70+L61+L52</f>
        <v>21</v>
      </c>
      <c r="M71" s="118">
        <f>M70+M61+M52</f>
        <v>9000</v>
      </c>
      <c r="N71" s="137"/>
    </row>
    <row r="72" spans="1:14" ht="16.5" customHeight="1">
      <c r="A72" s="360" t="s">
        <v>51</v>
      </c>
      <c r="B72" s="362" t="s">
        <v>50</v>
      </c>
      <c r="C72" s="364" t="s">
        <v>12</v>
      </c>
      <c r="D72" s="61" t="s">
        <v>52</v>
      </c>
      <c r="E72" s="109"/>
      <c r="F72" s="98"/>
      <c r="G72" s="114"/>
      <c r="H72" s="98"/>
      <c r="I72" s="114"/>
      <c r="J72" s="19">
        <f t="shared" si="1"/>
        <v>-1</v>
      </c>
      <c r="K72" s="87">
        <f t="shared" si="1"/>
        <v>-1</v>
      </c>
      <c r="L72" s="98">
        <v>15</v>
      </c>
      <c r="M72" s="114">
        <f>1690+910</f>
        <v>2600</v>
      </c>
      <c r="N72" s="138"/>
    </row>
    <row r="73" spans="1:14">
      <c r="A73" s="319"/>
      <c r="B73" s="324"/>
      <c r="C73" s="317"/>
      <c r="D73" s="51" t="s">
        <v>53</v>
      </c>
      <c r="E73" s="110"/>
      <c r="F73" s="101"/>
      <c r="G73" s="117"/>
      <c r="H73" s="101"/>
      <c r="I73" s="117"/>
      <c r="J73" s="77" t="str">
        <f t="shared" si="1"/>
        <v>-</v>
      </c>
      <c r="K73" s="88" t="str">
        <f t="shared" si="1"/>
        <v>-</v>
      </c>
      <c r="L73" s="101">
        <v>0</v>
      </c>
      <c r="M73" s="117">
        <v>0</v>
      </c>
      <c r="N73" s="139"/>
    </row>
    <row r="74" spans="1:14">
      <c r="A74" s="319"/>
      <c r="B74" s="324"/>
      <c r="C74" s="317"/>
      <c r="D74" s="51" t="s">
        <v>37</v>
      </c>
      <c r="E74" s="110"/>
      <c r="F74" s="101"/>
      <c r="G74" s="117"/>
      <c r="H74" s="101"/>
      <c r="I74" s="117"/>
      <c r="J74" s="77">
        <f t="shared" si="1"/>
        <v>-1</v>
      </c>
      <c r="K74" s="88">
        <f t="shared" si="1"/>
        <v>-1</v>
      </c>
      <c r="L74" s="101">
        <v>1</v>
      </c>
      <c r="M74" s="117">
        <v>310</v>
      </c>
      <c r="N74" s="139"/>
    </row>
    <row r="75" spans="1:14">
      <c r="A75" s="319"/>
      <c r="B75" s="324"/>
      <c r="C75" s="365"/>
      <c r="D75" s="366" t="s">
        <v>16</v>
      </c>
      <c r="E75" s="249"/>
      <c r="F75" s="99">
        <f>SUM(F72:F74)</f>
        <v>0</v>
      </c>
      <c r="G75" s="115">
        <f>SUM(G72:G74)</f>
        <v>0</v>
      </c>
      <c r="H75" s="99">
        <f>SUM(H72:H74)</f>
        <v>0</v>
      </c>
      <c r="I75" s="115">
        <f>SUM(I72:I74)</f>
        <v>0</v>
      </c>
      <c r="J75" s="78">
        <f t="shared" si="1"/>
        <v>-1</v>
      </c>
      <c r="K75" s="89">
        <f t="shared" si="1"/>
        <v>-1</v>
      </c>
      <c r="L75" s="99">
        <f>SUM(L72:L74)</f>
        <v>16</v>
      </c>
      <c r="M75" s="115">
        <f>SUM(M72:M74)</f>
        <v>2910</v>
      </c>
      <c r="N75" s="140"/>
    </row>
    <row r="76" spans="1:14">
      <c r="A76" s="319"/>
      <c r="B76" s="324"/>
      <c r="C76" s="367" t="s">
        <v>17</v>
      </c>
      <c r="D76" s="59" t="s">
        <v>18</v>
      </c>
      <c r="E76" s="111"/>
      <c r="F76" s="100"/>
      <c r="G76" s="116"/>
      <c r="H76" s="100"/>
      <c r="I76" s="116"/>
      <c r="J76" s="9">
        <f t="shared" si="1"/>
        <v>-1</v>
      </c>
      <c r="K76" s="90">
        <f t="shared" si="1"/>
        <v>-1</v>
      </c>
      <c r="L76" s="100">
        <f>33+4+1+9</f>
        <v>47</v>
      </c>
      <c r="M76" s="116">
        <f>14520+1760+490+4410</f>
        <v>21180</v>
      </c>
      <c r="N76" s="141"/>
    </row>
    <row r="77" spans="1:14">
      <c r="A77" s="319"/>
      <c r="B77" s="324"/>
      <c r="C77" s="317"/>
      <c r="D77" s="51" t="s">
        <v>19</v>
      </c>
      <c r="E77" s="110"/>
      <c r="F77" s="101"/>
      <c r="G77" s="117"/>
      <c r="H77" s="101"/>
      <c r="I77" s="117"/>
      <c r="J77" s="77">
        <f t="shared" si="1"/>
        <v>-1</v>
      </c>
      <c r="K77" s="88">
        <f t="shared" si="1"/>
        <v>-1</v>
      </c>
      <c r="L77" s="101">
        <f>34+6</f>
        <v>40</v>
      </c>
      <c r="M77" s="117">
        <f>17680+3420</f>
        <v>21100</v>
      </c>
      <c r="N77" s="139"/>
    </row>
    <row r="78" spans="1:14">
      <c r="A78" s="319"/>
      <c r="B78" s="324"/>
      <c r="C78" s="317"/>
      <c r="D78" s="51" t="s">
        <v>38</v>
      </c>
      <c r="E78" s="110"/>
      <c r="F78" s="101"/>
      <c r="G78" s="117"/>
      <c r="H78" s="101"/>
      <c r="I78" s="117"/>
      <c r="J78" s="77" t="str">
        <f t="shared" si="1"/>
        <v>-</v>
      </c>
      <c r="K78" s="88" t="str">
        <f t="shared" si="1"/>
        <v>-</v>
      </c>
      <c r="L78" s="101">
        <v>0</v>
      </c>
      <c r="M78" s="117">
        <v>0</v>
      </c>
      <c r="N78" s="139"/>
    </row>
    <row r="79" spans="1:14">
      <c r="A79" s="319"/>
      <c r="B79" s="324"/>
      <c r="C79" s="365"/>
      <c r="D79" s="366" t="s">
        <v>16</v>
      </c>
      <c r="E79" s="249"/>
      <c r="F79" s="99">
        <f>SUM(F76:F78)</f>
        <v>0</v>
      </c>
      <c r="G79" s="115">
        <f>SUM(G76:G78)</f>
        <v>0</v>
      </c>
      <c r="H79" s="99">
        <f>SUM(H76:H78)</f>
        <v>0</v>
      </c>
      <c r="I79" s="115">
        <f>SUM(I76:I78)</f>
        <v>0</v>
      </c>
      <c r="J79" s="78">
        <f t="shared" si="1"/>
        <v>-1</v>
      </c>
      <c r="K79" s="89">
        <f t="shared" si="1"/>
        <v>-1</v>
      </c>
      <c r="L79" s="99">
        <f>SUM(L76:L78)</f>
        <v>87</v>
      </c>
      <c r="M79" s="115">
        <f>SUM(M76:M78)</f>
        <v>42280</v>
      </c>
      <c r="N79" s="140"/>
    </row>
    <row r="80" spans="1:14">
      <c r="A80" s="319"/>
      <c r="B80" s="324"/>
      <c r="C80" s="367" t="s">
        <v>54</v>
      </c>
      <c r="D80" s="59" t="s">
        <v>19</v>
      </c>
      <c r="E80" s="111"/>
      <c r="F80" s="100"/>
      <c r="G80" s="116"/>
      <c r="H80" s="100"/>
      <c r="I80" s="116"/>
      <c r="J80" s="9" t="str">
        <f t="shared" si="1"/>
        <v>-</v>
      </c>
      <c r="K80" s="90" t="str">
        <f t="shared" si="1"/>
        <v>-</v>
      </c>
      <c r="L80" s="100">
        <v>0</v>
      </c>
      <c r="M80" s="116">
        <v>0</v>
      </c>
      <c r="N80" s="141"/>
    </row>
    <row r="81" spans="1:14">
      <c r="A81" s="361"/>
      <c r="B81" s="363"/>
      <c r="C81" s="365"/>
      <c r="D81" s="366" t="s">
        <v>16</v>
      </c>
      <c r="E81" s="249"/>
      <c r="F81" s="99">
        <f>SUM(F80)</f>
        <v>0</v>
      </c>
      <c r="G81" s="115">
        <f>SUM(G80)</f>
        <v>0</v>
      </c>
      <c r="H81" s="99">
        <f>SUM(H80)</f>
        <v>0</v>
      </c>
      <c r="I81" s="115">
        <f>SUM(I80)</f>
        <v>0</v>
      </c>
      <c r="J81" s="78" t="str">
        <f t="shared" si="1"/>
        <v>-</v>
      </c>
      <c r="K81" s="89" t="str">
        <f t="shared" si="1"/>
        <v>-</v>
      </c>
      <c r="L81" s="99">
        <f>SUM(L80)</f>
        <v>0</v>
      </c>
      <c r="M81" s="115">
        <f>SUM(M80)</f>
        <v>0</v>
      </c>
      <c r="N81" s="140"/>
    </row>
    <row r="82" spans="1:14">
      <c r="A82" s="371" t="s">
        <v>58</v>
      </c>
      <c r="B82" s="372"/>
      <c r="C82" s="372"/>
      <c r="D82" s="372"/>
      <c r="E82" s="373"/>
      <c r="F82" s="103">
        <f>F81+F79+F75</f>
        <v>0</v>
      </c>
      <c r="G82" s="120">
        <f>G81+G79+G75</f>
        <v>0</v>
      </c>
      <c r="H82" s="103">
        <f>H81+H79+H75</f>
        <v>0</v>
      </c>
      <c r="I82" s="120">
        <f>I81+I79+I75</f>
        <v>0</v>
      </c>
      <c r="J82" s="121">
        <f t="shared" si="1"/>
        <v>-1</v>
      </c>
      <c r="K82" s="125">
        <f t="shared" si="1"/>
        <v>-1</v>
      </c>
      <c r="L82" s="103">
        <f>L81+L79+L75</f>
        <v>103</v>
      </c>
      <c r="M82" s="120">
        <f>M81+M79+M75</f>
        <v>45190</v>
      </c>
      <c r="N82" s="137"/>
    </row>
    <row r="83" spans="1:14">
      <c r="A83" s="374" t="s">
        <v>55</v>
      </c>
      <c r="B83" s="374"/>
      <c r="C83" s="374"/>
      <c r="D83" s="374"/>
      <c r="E83" s="375"/>
      <c r="F83" s="142">
        <f>F82+F71+F43+F34</f>
        <v>6</v>
      </c>
      <c r="G83" s="143">
        <f>G82+G71+G43+G34</f>
        <v>2790</v>
      </c>
      <c r="H83" s="142">
        <f>H82+H71+H43+H34</f>
        <v>6</v>
      </c>
      <c r="I83" s="143">
        <f>I82+I71+I43+I34</f>
        <v>3310</v>
      </c>
      <c r="J83" s="144"/>
      <c r="K83" s="145"/>
      <c r="L83" s="142">
        <f>L82+L71+L43+L34</f>
        <v>361</v>
      </c>
      <c r="M83" s="146">
        <f>M82+M71+M43+M34</f>
        <v>165770</v>
      </c>
      <c r="N83" s="147"/>
    </row>
    <row r="84" spans="1:14">
      <c r="A84" s="25" t="s">
        <v>42</v>
      </c>
    </row>
    <row r="85" spans="1:14">
      <c r="A85" s="25" t="s">
        <v>40</v>
      </c>
    </row>
    <row r="86" spans="1:14">
      <c r="A86" s="25" t="s">
        <v>41</v>
      </c>
    </row>
  </sheetData>
  <mergeCells count="63">
    <mergeCell ref="A82:E82"/>
    <mergeCell ref="A83:E83"/>
    <mergeCell ref="C70:E70"/>
    <mergeCell ref="C33:E33"/>
    <mergeCell ref="C24:E24"/>
    <mergeCell ref="D65:E65"/>
    <mergeCell ref="C66:C69"/>
    <mergeCell ref="D69:E69"/>
    <mergeCell ref="A43:D43"/>
    <mergeCell ref="A44:A70"/>
    <mergeCell ref="B44:B52"/>
    <mergeCell ref="C44:C47"/>
    <mergeCell ref="D47:E47"/>
    <mergeCell ref="C48:C51"/>
    <mergeCell ref="D51:E51"/>
    <mergeCell ref="C52:E52"/>
    <mergeCell ref="C15:E15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D56:E56"/>
    <mergeCell ref="C57:C60"/>
    <mergeCell ref="D60:E60"/>
    <mergeCell ref="C61:E61"/>
    <mergeCell ref="B62:B70"/>
    <mergeCell ref="C62:C65"/>
    <mergeCell ref="B53:B61"/>
    <mergeCell ref="C53:C56"/>
    <mergeCell ref="A34:E34"/>
    <mergeCell ref="A35:A42"/>
    <mergeCell ref="B35:B36"/>
    <mergeCell ref="C35:C36"/>
    <mergeCell ref="B37:B42"/>
    <mergeCell ref="C37:C42"/>
    <mergeCell ref="C20:C23"/>
    <mergeCell ref="D23:E23"/>
    <mergeCell ref="B25:B33"/>
    <mergeCell ref="C25:C28"/>
    <mergeCell ref="D28:E28"/>
    <mergeCell ref="C29:C32"/>
    <mergeCell ref="D32:E32"/>
    <mergeCell ref="N5:N6"/>
    <mergeCell ref="A7:A33"/>
    <mergeCell ref="B7:B15"/>
    <mergeCell ref="C7:C10"/>
    <mergeCell ref="D10:E10"/>
    <mergeCell ref="C11:C14"/>
    <mergeCell ref="D14:E14"/>
    <mergeCell ref="B16:B24"/>
    <mergeCell ref="C16:C19"/>
    <mergeCell ref="A5:D6"/>
    <mergeCell ref="E5:E6"/>
    <mergeCell ref="F5:G5"/>
    <mergeCell ref="H5:I5"/>
    <mergeCell ref="J5:K5"/>
    <mergeCell ref="L5:M5"/>
    <mergeCell ref="D19:E19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4452-D320-41F8-8644-C476EEA5B941}">
  <dimension ref="A1:N86"/>
  <sheetViews>
    <sheetView showGridLines="0" topLeftCell="A6" zoomScale="85" zoomScaleNormal="85" workbookViewId="0">
      <selection activeCell="T25" sqref="T25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spans="1:14" ht="20.25">
      <c r="A1" s="26" t="s">
        <v>60</v>
      </c>
    </row>
    <row r="2" spans="1:14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7.25" thickBot="1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7" t="s">
        <v>1</v>
      </c>
    </row>
    <row r="5" spans="1:14" ht="23.25" customHeight="1">
      <c r="A5" s="289" t="s">
        <v>2</v>
      </c>
      <c r="B5" s="290"/>
      <c r="C5" s="290"/>
      <c r="D5" s="291"/>
      <c r="E5" s="295" t="s">
        <v>3</v>
      </c>
      <c r="F5" s="342" t="s">
        <v>59</v>
      </c>
      <c r="G5" s="298"/>
      <c r="H5" s="299" t="s">
        <v>39</v>
      </c>
      <c r="I5" s="300"/>
      <c r="J5" s="301" t="s">
        <v>4</v>
      </c>
      <c r="K5" s="285"/>
      <c r="L5" s="301" t="s">
        <v>44</v>
      </c>
      <c r="M5" s="285"/>
      <c r="N5" s="286" t="s">
        <v>5</v>
      </c>
    </row>
    <row r="6" spans="1:14">
      <c r="A6" s="292"/>
      <c r="B6" s="293"/>
      <c r="C6" s="293"/>
      <c r="D6" s="294"/>
      <c r="E6" s="296"/>
      <c r="F6" s="62" t="s">
        <v>6</v>
      </c>
      <c r="G6" s="149" t="s">
        <v>7</v>
      </c>
      <c r="H6" s="162" t="s">
        <v>8</v>
      </c>
      <c r="I6" s="163" t="s">
        <v>9</v>
      </c>
      <c r="J6" s="63" t="s">
        <v>8</v>
      </c>
      <c r="K6" s="64" t="s">
        <v>9</v>
      </c>
      <c r="L6" s="63" t="s">
        <v>8</v>
      </c>
      <c r="M6" s="64" t="s">
        <v>9</v>
      </c>
      <c r="N6" s="287"/>
    </row>
    <row r="7" spans="1:14">
      <c r="A7" s="288" t="s">
        <v>10</v>
      </c>
      <c r="B7" s="258" t="s">
        <v>11</v>
      </c>
      <c r="C7" s="334" t="s">
        <v>12</v>
      </c>
      <c r="D7" s="23" t="s">
        <v>13</v>
      </c>
      <c r="E7" s="68">
        <v>275</v>
      </c>
      <c r="F7" s="13">
        <v>0</v>
      </c>
      <c r="G7" s="14">
        <f>F7*E7</f>
        <v>0</v>
      </c>
      <c r="H7" s="15">
        <f>F7</f>
        <v>0</v>
      </c>
      <c r="I7" s="16">
        <f>H7*E7</f>
        <v>0</v>
      </c>
      <c r="J7" s="19">
        <f t="shared" ref="J7:K43" si="0">IFERROR(H7/L7-1,"-")</f>
        <v>-1</v>
      </c>
      <c r="K7" s="87">
        <f t="shared" si="0"/>
        <v>-1</v>
      </c>
      <c r="L7" s="84">
        <f>3+5</f>
        <v>8</v>
      </c>
      <c r="M7" s="181">
        <f>690+1210</f>
        <v>1900</v>
      </c>
      <c r="N7" s="184" t="s">
        <v>14</v>
      </c>
    </row>
    <row r="8" spans="1:14">
      <c r="A8" s="268"/>
      <c r="B8" s="259"/>
      <c r="C8" s="335"/>
      <c r="D8" s="22" t="s">
        <v>15</v>
      </c>
      <c r="E8" s="69">
        <v>180</v>
      </c>
      <c r="F8" s="12">
        <v>0</v>
      </c>
      <c r="G8" s="150">
        <v>0</v>
      </c>
      <c r="H8" s="10">
        <v>0</v>
      </c>
      <c r="I8" s="11">
        <f>H8*E8</f>
        <v>0</v>
      </c>
      <c r="J8" s="77" t="str">
        <f t="shared" si="0"/>
        <v>-</v>
      </c>
      <c r="K8" s="88" t="str">
        <f t="shared" si="0"/>
        <v>-</v>
      </c>
      <c r="L8" s="85">
        <v>0</v>
      </c>
      <c r="M8" s="182">
        <v>0</v>
      </c>
      <c r="N8" s="185"/>
    </row>
    <row r="9" spans="1:14">
      <c r="A9" s="268"/>
      <c r="B9" s="259"/>
      <c r="C9" s="335"/>
      <c r="D9" s="22" t="s">
        <v>37</v>
      </c>
      <c r="E9" s="69">
        <v>420</v>
      </c>
      <c r="F9" s="12">
        <v>0</v>
      </c>
      <c r="G9" s="150">
        <f>F9*E9</f>
        <v>0</v>
      </c>
      <c r="H9" s="10">
        <v>0</v>
      </c>
      <c r="I9" s="11">
        <f>H9*E9</f>
        <v>0</v>
      </c>
      <c r="J9" s="77">
        <f t="shared" si="0"/>
        <v>-1</v>
      </c>
      <c r="K9" s="88">
        <f t="shared" si="0"/>
        <v>-1</v>
      </c>
      <c r="L9" s="85">
        <v>1</v>
      </c>
      <c r="M9" s="182">
        <v>430</v>
      </c>
      <c r="N9" s="185"/>
    </row>
    <row r="10" spans="1:14">
      <c r="A10" s="268"/>
      <c r="B10" s="259"/>
      <c r="C10" s="336"/>
      <c r="D10" s="337" t="s">
        <v>16</v>
      </c>
      <c r="E10" s="251"/>
      <c r="F10" s="65">
        <f>SUM(F7:F9)</f>
        <v>0</v>
      </c>
      <c r="G10" s="151">
        <f>SUM(G7:G9)</f>
        <v>0</v>
      </c>
      <c r="H10" s="164">
        <f>SUM(H7:H9)</f>
        <v>0</v>
      </c>
      <c r="I10" s="165">
        <f>SUM(I7:I9)</f>
        <v>0</v>
      </c>
      <c r="J10" s="78">
        <f t="shared" si="0"/>
        <v>-1</v>
      </c>
      <c r="K10" s="89">
        <f t="shared" si="0"/>
        <v>-1</v>
      </c>
      <c r="L10" s="65">
        <f>SUM(L7:L9)</f>
        <v>9</v>
      </c>
      <c r="M10" s="151">
        <f>SUM(M7:M9)</f>
        <v>2330</v>
      </c>
      <c r="N10" s="185"/>
    </row>
    <row r="11" spans="1:14">
      <c r="A11" s="268"/>
      <c r="B11" s="259"/>
      <c r="C11" s="338" t="s">
        <v>17</v>
      </c>
      <c r="D11" s="24" t="s">
        <v>18</v>
      </c>
      <c r="E11" s="70">
        <v>550</v>
      </c>
      <c r="F11" s="5">
        <v>3</v>
      </c>
      <c r="G11" s="6">
        <f>F11*E11</f>
        <v>1650</v>
      </c>
      <c r="H11" s="7">
        <v>4</v>
      </c>
      <c r="I11" s="8">
        <f>H11*E11</f>
        <v>2200</v>
      </c>
      <c r="J11" s="9">
        <f t="shared" si="0"/>
        <v>-0.8</v>
      </c>
      <c r="K11" s="90">
        <f t="shared" si="0"/>
        <v>-0.79245283018867929</v>
      </c>
      <c r="L11" s="86">
        <v>20</v>
      </c>
      <c r="M11" s="183">
        <f>1060+9540</f>
        <v>10600</v>
      </c>
      <c r="N11" s="185"/>
    </row>
    <row r="12" spans="1:14">
      <c r="A12" s="268"/>
      <c r="B12" s="259"/>
      <c r="C12" s="335"/>
      <c r="D12" s="22" t="s">
        <v>19</v>
      </c>
      <c r="E12" s="69">
        <v>675</v>
      </c>
      <c r="F12" s="12"/>
      <c r="G12" s="150">
        <f>F12*E12</f>
        <v>0</v>
      </c>
      <c r="H12" s="10">
        <v>0</v>
      </c>
      <c r="I12" s="11">
        <f>H12*E12</f>
        <v>0</v>
      </c>
      <c r="J12" s="77">
        <f t="shared" si="0"/>
        <v>-1</v>
      </c>
      <c r="K12" s="88">
        <f t="shared" si="0"/>
        <v>-1</v>
      </c>
      <c r="L12" s="85">
        <v>28</v>
      </c>
      <c r="M12" s="182">
        <f>9600+7680</f>
        <v>17280</v>
      </c>
      <c r="N12" s="185"/>
    </row>
    <row r="13" spans="1:14">
      <c r="A13" s="268"/>
      <c r="B13" s="259"/>
      <c r="C13" s="335"/>
      <c r="D13" s="22" t="s">
        <v>38</v>
      </c>
      <c r="E13" s="69">
        <v>810</v>
      </c>
      <c r="F13" s="12">
        <v>1</v>
      </c>
      <c r="G13" s="150">
        <f>F13*E13</f>
        <v>810</v>
      </c>
      <c r="H13" s="10">
        <v>1</v>
      </c>
      <c r="I13" s="11">
        <f>H13*E13</f>
        <v>810</v>
      </c>
      <c r="J13" s="77" t="str">
        <f t="shared" si="0"/>
        <v>-</v>
      </c>
      <c r="K13" s="88" t="str">
        <f t="shared" si="0"/>
        <v>-</v>
      </c>
      <c r="L13" s="85">
        <v>0</v>
      </c>
      <c r="M13" s="182">
        <v>0</v>
      </c>
      <c r="N13" s="185"/>
    </row>
    <row r="14" spans="1:14">
      <c r="A14" s="268"/>
      <c r="B14" s="259"/>
      <c r="C14" s="335"/>
      <c r="D14" s="339" t="s">
        <v>16</v>
      </c>
      <c r="E14" s="340"/>
      <c r="F14" s="66">
        <f>SUM(F11:F13)</f>
        <v>4</v>
      </c>
      <c r="G14" s="152">
        <f>SUM(G11:G13)</f>
        <v>2460</v>
      </c>
      <c r="H14" s="166">
        <f>SUM(H11:H13)</f>
        <v>5</v>
      </c>
      <c r="I14" s="167">
        <f>SUM(I11:I13)</f>
        <v>3010</v>
      </c>
      <c r="J14" s="79">
        <f t="shared" si="0"/>
        <v>-0.89583333333333337</v>
      </c>
      <c r="K14" s="91">
        <f t="shared" si="0"/>
        <v>-0.89203730272596848</v>
      </c>
      <c r="L14" s="66">
        <f>SUM(L11:L13)</f>
        <v>48</v>
      </c>
      <c r="M14" s="152">
        <f>SUM(M11:M13)</f>
        <v>27880</v>
      </c>
      <c r="N14" s="185"/>
    </row>
    <row r="15" spans="1:14">
      <c r="A15" s="268"/>
      <c r="B15" s="260"/>
      <c r="C15" s="358" t="s">
        <v>20</v>
      </c>
      <c r="D15" s="358"/>
      <c r="E15" s="359"/>
      <c r="F15" s="67">
        <f>SUM(F10,F14)</f>
        <v>4</v>
      </c>
      <c r="G15" s="153">
        <f>SUM(G10,G14)</f>
        <v>2460</v>
      </c>
      <c r="H15" s="168">
        <f>H14+H10</f>
        <v>5</v>
      </c>
      <c r="I15" s="169">
        <f>I14+I10</f>
        <v>3010</v>
      </c>
      <c r="J15" s="80">
        <f t="shared" si="0"/>
        <v>-0.91228070175438591</v>
      </c>
      <c r="K15" s="92">
        <f t="shared" si="0"/>
        <v>-0.90036411784177428</v>
      </c>
      <c r="L15" s="67">
        <f>SUM(L10,L14)</f>
        <v>57</v>
      </c>
      <c r="M15" s="153">
        <f>SUM(M10,M14)</f>
        <v>30210</v>
      </c>
      <c r="N15" s="191"/>
    </row>
    <row r="16" spans="1:14">
      <c r="A16" s="268"/>
      <c r="B16" s="382" t="s">
        <v>21</v>
      </c>
      <c r="C16" s="338" t="s">
        <v>12</v>
      </c>
      <c r="D16" s="24" t="s">
        <v>13</v>
      </c>
      <c r="E16" s="70">
        <v>190</v>
      </c>
      <c r="F16" s="5">
        <v>0</v>
      </c>
      <c r="G16" s="6">
        <f>F16*E16</f>
        <v>0</v>
      </c>
      <c r="H16" s="7">
        <v>0</v>
      </c>
      <c r="I16" s="8">
        <f>H16*E16</f>
        <v>0</v>
      </c>
      <c r="J16" s="9">
        <f t="shared" si="0"/>
        <v>-1</v>
      </c>
      <c r="K16" s="90">
        <f t="shared" si="0"/>
        <v>-1</v>
      </c>
      <c r="L16" s="86">
        <v>5</v>
      </c>
      <c r="M16" s="183">
        <v>670</v>
      </c>
      <c r="N16" s="185" t="s">
        <v>22</v>
      </c>
    </row>
    <row r="17" spans="1:14">
      <c r="A17" s="268"/>
      <c r="B17" s="259"/>
      <c r="C17" s="335"/>
      <c r="D17" s="22" t="s">
        <v>15</v>
      </c>
      <c r="E17" s="69">
        <v>120</v>
      </c>
      <c r="F17" s="12"/>
      <c r="G17" s="150">
        <f>F17*E17</f>
        <v>0</v>
      </c>
      <c r="H17" s="10">
        <v>0</v>
      </c>
      <c r="I17" s="11">
        <f>H17*E17</f>
        <v>0</v>
      </c>
      <c r="J17" s="77">
        <f t="shared" si="0"/>
        <v>-1</v>
      </c>
      <c r="K17" s="88">
        <f t="shared" si="0"/>
        <v>-1</v>
      </c>
      <c r="L17" s="85">
        <v>3</v>
      </c>
      <c r="M17" s="182">
        <v>430</v>
      </c>
      <c r="N17" s="185"/>
    </row>
    <row r="18" spans="1:14">
      <c r="A18" s="268"/>
      <c r="B18" s="259"/>
      <c r="C18" s="335"/>
      <c r="D18" s="22" t="s">
        <v>37</v>
      </c>
      <c r="E18" s="69">
        <v>300</v>
      </c>
      <c r="F18" s="12">
        <v>0</v>
      </c>
      <c r="G18" s="150">
        <f>F18*E18</f>
        <v>0</v>
      </c>
      <c r="H18" s="10">
        <v>0</v>
      </c>
      <c r="I18" s="11">
        <f>H18*E18</f>
        <v>0</v>
      </c>
      <c r="J18" s="77" t="str">
        <f t="shared" si="0"/>
        <v>-</v>
      </c>
      <c r="K18" s="88" t="str">
        <f t="shared" si="0"/>
        <v>-</v>
      </c>
      <c r="L18" s="85">
        <v>0</v>
      </c>
      <c r="M18" s="182">
        <v>0</v>
      </c>
      <c r="N18" s="185" t="s">
        <v>23</v>
      </c>
    </row>
    <row r="19" spans="1:14">
      <c r="A19" s="268"/>
      <c r="B19" s="259"/>
      <c r="C19" s="336"/>
      <c r="D19" s="337" t="s">
        <v>16</v>
      </c>
      <c r="E19" s="251"/>
      <c r="F19" s="65">
        <f>SUM(F16:F18)</f>
        <v>0</v>
      </c>
      <c r="G19" s="151">
        <f>SUM(G16:G18)</f>
        <v>0</v>
      </c>
      <c r="H19" s="164">
        <f>SUM(H16:H18)</f>
        <v>0</v>
      </c>
      <c r="I19" s="165">
        <f>SUM(I16:I18)</f>
        <v>0</v>
      </c>
      <c r="J19" s="78">
        <f t="shared" si="0"/>
        <v>-1</v>
      </c>
      <c r="K19" s="89">
        <f t="shared" si="0"/>
        <v>-1</v>
      </c>
      <c r="L19" s="65">
        <f>SUM(L16:L18)</f>
        <v>8</v>
      </c>
      <c r="M19" s="151">
        <f>SUM(M16:M18)</f>
        <v>1100</v>
      </c>
      <c r="N19" s="185" t="s">
        <v>24</v>
      </c>
    </row>
    <row r="20" spans="1:14">
      <c r="A20" s="268"/>
      <c r="B20" s="259"/>
      <c r="C20" s="338" t="s">
        <v>17</v>
      </c>
      <c r="D20" s="24" t="s">
        <v>18</v>
      </c>
      <c r="E20" s="70">
        <v>440</v>
      </c>
      <c r="F20" s="5">
        <v>0</v>
      </c>
      <c r="G20" s="6">
        <f>F20*E20</f>
        <v>0</v>
      </c>
      <c r="H20" s="7">
        <v>0</v>
      </c>
      <c r="I20" s="8">
        <f>H20*E20</f>
        <v>0</v>
      </c>
      <c r="J20" s="9">
        <f t="shared" si="0"/>
        <v>-1</v>
      </c>
      <c r="K20" s="90">
        <f t="shared" si="0"/>
        <v>-1</v>
      </c>
      <c r="L20" s="86">
        <f>16+1</f>
        <v>17</v>
      </c>
      <c r="M20" s="183">
        <f>1320+5720+440</f>
        <v>7480</v>
      </c>
      <c r="N20" s="185" t="s">
        <v>25</v>
      </c>
    </row>
    <row r="21" spans="1:14">
      <c r="A21" s="268"/>
      <c r="B21" s="259"/>
      <c r="C21" s="335"/>
      <c r="D21" s="22" t="s">
        <v>19</v>
      </c>
      <c r="E21" s="69">
        <v>520</v>
      </c>
      <c r="F21" s="12">
        <v>1</v>
      </c>
      <c r="G21" s="150">
        <f>F21*E21</f>
        <v>520</v>
      </c>
      <c r="H21" s="10">
        <v>1</v>
      </c>
      <c r="I21" s="11">
        <f>H21*E21</f>
        <v>520</v>
      </c>
      <c r="J21" s="77">
        <f t="shared" si="0"/>
        <v>-0.92307692307692313</v>
      </c>
      <c r="K21" s="88">
        <f t="shared" si="0"/>
        <v>-0.92307692307692313</v>
      </c>
      <c r="L21" s="85">
        <f>9+4</f>
        <v>13</v>
      </c>
      <c r="M21" s="182">
        <f>1560+3120+2080</f>
        <v>6760</v>
      </c>
      <c r="N21" s="185"/>
    </row>
    <row r="22" spans="1:14">
      <c r="A22" s="268"/>
      <c r="B22" s="259"/>
      <c r="C22" s="335"/>
      <c r="D22" s="22" t="s">
        <v>38</v>
      </c>
      <c r="E22" s="69">
        <v>600</v>
      </c>
      <c r="F22" s="12">
        <v>0</v>
      </c>
      <c r="G22" s="150">
        <f>F22*E22</f>
        <v>0</v>
      </c>
      <c r="H22" s="10">
        <v>0</v>
      </c>
      <c r="I22" s="11">
        <f>H22*E22</f>
        <v>0</v>
      </c>
      <c r="J22" s="77" t="str">
        <f t="shared" si="0"/>
        <v>-</v>
      </c>
      <c r="K22" s="88" t="str">
        <f t="shared" si="0"/>
        <v>-</v>
      </c>
      <c r="L22" s="85">
        <v>0</v>
      </c>
      <c r="M22" s="182">
        <v>0</v>
      </c>
      <c r="N22" s="185"/>
    </row>
    <row r="23" spans="1:14">
      <c r="A23" s="268"/>
      <c r="B23" s="259"/>
      <c r="C23" s="335"/>
      <c r="D23" s="339" t="s">
        <v>16</v>
      </c>
      <c r="E23" s="340"/>
      <c r="F23" s="66">
        <f>SUM(F20:F22)</f>
        <v>1</v>
      </c>
      <c r="G23" s="152">
        <f>SUM(G20:G22)</f>
        <v>520</v>
      </c>
      <c r="H23" s="166">
        <f>SUM(H20:H22)</f>
        <v>1</v>
      </c>
      <c r="I23" s="167">
        <f>SUM(I20:I22)</f>
        <v>520</v>
      </c>
      <c r="J23" s="79">
        <f t="shared" si="0"/>
        <v>-0.96666666666666667</v>
      </c>
      <c r="K23" s="91">
        <f t="shared" si="0"/>
        <v>-0.9634831460674157</v>
      </c>
      <c r="L23" s="66">
        <f>SUM(L20:L22)</f>
        <v>30</v>
      </c>
      <c r="M23" s="152">
        <f>SUM(M20:M22)</f>
        <v>14240</v>
      </c>
      <c r="N23" s="185"/>
    </row>
    <row r="24" spans="1:14">
      <c r="A24" s="268"/>
      <c r="B24" s="260"/>
      <c r="C24" s="358" t="s">
        <v>20</v>
      </c>
      <c r="D24" s="358"/>
      <c r="E24" s="359"/>
      <c r="F24" s="67">
        <f>SUM(F19,F23)</f>
        <v>1</v>
      </c>
      <c r="G24" s="153">
        <f>SUM(G19,G23)</f>
        <v>520</v>
      </c>
      <c r="H24" s="168">
        <f>H23+H19</f>
        <v>1</v>
      </c>
      <c r="I24" s="169">
        <f>I23+I19</f>
        <v>520</v>
      </c>
      <c r="J24" s="80">
        <f t="shared" si="0"/>
        <v>-0.97368421052631582</v>
      </c>
      <c r="K24" s="92">
        <f t="shared" si="0"/>
        <v>-0.96610169491525422</v>
      </c>
      <c r="L24" s="67">
        <f>SUM(L19,L23)</f>
        <v>38</v>
      </c>
      <c r="M24" s="153">
        <f>SUM(M19,M23)</f>
        <v>15340</v>
      </c>
      <c r="N24" s="191"/>
    </row>
    <row r="25" spans="1:14">
      <c r="A25" s="268"/>
      <c r="B25" s="382" t="s">
        <v>26</v>
      </c>
      <c r="C25" s="338" t="s">
        <v>12</v>
      </c>
      <c r="D25" s="24" t="s">
        <v>13</v>
      </c>
      <c r="E25" s="70">
        <v>190</v>
      </c>
      <c r="F25" s="5">
        <v>0</v>
      </c>
      <c r="G25" s="6">
        <f>F25*E25</f>
        <v>0</v>
      </c>
      <c r="H25" s="7">
        <v>0</v>
      </c>
      <c r="I25" s="8">
        <f>H25*E25</f>
        <v>0</v>
      </c>
      <c r="J25" s="9">
        <f t="shared" si="0"/>
        <v>-1</v>
      </c>
      <c r="K25" s="90">
        <f t="shared" si="0"/>
        <v>-1</v>
      </c>
      <c r="L25" s="86">
        <v>19</v>
      </c>
      <c r="M25" s="183">
        <v>2910</v>
      </c>
      <c r="N25" s="185" t="s">
        <v>22</v>
      </c>
    </row>
    <row r="26" spans="1:14">
      <c r="A26" s="268"/>
      <c r="B26" s="259"/>
      <c r="C26" s="335"/>
      <c r="D26" s="22" t="s">
        <v>15</v>
      </c>
      <c r="E26" s="69">
        <v>120</v>
      </c>
      <c r="F26" s="12"/>
      <c r="G26" s="150"/>
      <c r="H26" s="10">
        <v>0</v>
      </c>
      <c r="I26" s="11">
        <f>H26*E26</f>
        <v>0</v>
      </c>
      <c r="J26" s="77" t="str">
        <f t="shared" si="0"/>
        <v>-</v>
      </c>
      <c r="K26" s="88" t="str">
        <f t="shared" si="0"/>
        <v>-</v>
      </c>
      <c r="L26" s="85">
        <v>0</v>
      </c>
      <c r="M26" s="182">
        <v>0</v>
      </c>
      <c r="N26" s="185"/>
    </row>
    <row r="27" spans="1:14">
      <c r="A27" s="268"/>
      <c r="B27" s="259"/>
      <c r="C27" s="335"/>
      <c r="D27" s="22" t="s">
        <v>37</v>
      </c>
      <c r="E27" s="69">
        <v>300</v>
      </c>
      <c r="F27" s="12">
        <v>1</v>
      </c>
      <c r="G27" s="150">
        <f>F27*E27</f>
        <v>300</v>
      </c>
      <c r="H27" s="10">
        <v>1</v>
      </c>
      <c r="I27" s="11">
        <f>H27*E27</f>
        <v>300</v>
      </c>
      <c r="J27" s="77">
        <f t="shared" si="0"/>
        <v>-0.85714285714285721</v>
      </c>
      <c r="K27" s="88">
        <f t="shared" si="0"/>
        <v>-0.86175115207373265</v>
      </c>
      <c r="L27" s="85">
        <v>7</v>
      </c>
      <c r="M27" s="182">
        <v>2170</v>
      </c>
      <c r="N27" s="185" t="s">
        <v>27</v>
      </c>
    </row>
    <row r="28" spans="1:14">
      <c r="A28" s="268"/>
      <c r="B28" s="259"/>
      <c r="C28" s="336"/>
      <c r="D28" s="337" t="s">
        <v>16</v>
      </c>
      <c r="E28" s="251"/>
      <c r="F28" s="65">
        <f>SUM(F25:F27)</f>
        <v>1</v>
      </c>
      <c r="G28" s="151">
        <f>SUM(G25:G27)</f>
        <v>300</v>
      </c>
      <c r="H28" s="164">
        <f>SUM(H25:H27)</f>
        <v>1</v>
      </c>
      <c r="I28" s="165">
        <f>SUM(I25:I27)</f>
        <v>300</v>
      </c>
      <c r="J28" s="78">
        <f t="shared" si="0"/>
        <v>-0.96153846153846156</v>
      </c>
      <c r="K28" s="89">
        <f t="shared" si="0"/>
        <v>-0.94094488188976377</v>
      </c>
      <c r="L28" s="65">
        <f>SUM(L25:L27)</f>
        <v>26</v>
      </c>
      <c r="M28" s="151">
        <f>SUM(M25:M27)</f>
        <v>5080</v>
      </c>
      <c r="N28" s="185"/>
    </row>
    <row r="29" spans="1:14">
      <c r="A29" s="268"/>
      <c r="B29" s="259"/>
      <c r="C29" s="338" t="s">
        <v>17</v>
      </c>
      <c r="D29" s="24" t="s">
        <v>18</v>
      </c>
      <c r="E29" s="70">
        <v>440</v>
      </c>
      <c r="F29" s="5">
        <v>4</v>
      </c>
      <c r="G29" s="6">
        <f>F29*E29</f>
        <v>1760</v>
      </c>
      <c r="H29" s="7">
        <v>5</v>
      </c>
      <c r="I29" s="8">
        <f>H29*E29</f>
        <v>2200</v>
      </c>
      <c r="J29" s="9">
        <f t="shared" si="0"/>
        <v>-0.90740740740740744</v>
      </c>
      <c r="K29" s="90">
        <f t="shared" si="0"/>
        <v>-0.90740740740740744</v>
      </c>
      <c r="L29" s="86">
        <v>54</v>
      </c>
      <c r="M29" s="183">
        <v>23760</v>
      </c>
      <c r="N29" s="185"/>
    </row>
    <row r="30" spans="1:14">
      <c r="A30" s="268"/>
      <c r="B30" s="259"/>
      <c r="C30" s="335"/>
      <c r="D30" s="22" t="s">
        <v>19</v>
      </c>
      <c r="E30" s="69">
        <v>520</v>
      </c>
      <c r="F30" s="12">
        <v>4</v>
      </c>
      <c r="G30" s="150">
        <f>F30*E30</f>
        <v>2080</v>
      </c>
      <c r="H30" s="10">
        <v>5</v>
      </c>
      <c r="I30" s="11">
        <f>H30*E30</f>
        <v>2600</v>
      </c>
      <c r="J30" s="77">
        <f t="shared" si="0"/>
        <v>-0.87804878048780488</v>
      </c>
      <c r="K30" s="88">
        <f t="shared" si="0"/>
        <v>-0.88095238095238093</v>
      </c>
      <c r="L30" s="85">
        <v>41</v>
      </c>
      <c r="M30" s="182">
        <v>21840</v>
      </c>
      <c r="N30" s="185"/>
    </row>
    <row r="31" spans="1:14">
      <c r="A31" s="268"/>
      <c r="B31" s="259"/>
      <c r="C31" s="335"/>
      <c r="D31" s="22" t="s">
        <v>38</v>
      </c>
      <c r="E31" s="69">
        <v>600</v>
      </c>
      <c r="F31" s="12">
        <v>0</v>
      </c>
      <c r="G31" s="150">
        <f>F31*E31</f>
        <v>0</v>
      </c>
      <c r="H31" s="10">
        <v>3</v>
      </c>
      <c r="I31" s="11">
        <f>H31*E31</f>
        <v>1800</v>
      </c>
      <c r="J31" s="77" t="str">
        <f t="shared" si="0"/>
        <v>-</v>
      </c>
      <c r="K31" s="88" t="str">
        <f t="shared" si="0"/>
        <v>-</v>
      </c>
      <c r="L31" s="85">
        <v>0</v>
      </c>
      <c r="M31" s="182">
        <v>0</v>
      </c>
      <c r="N31" s="185"/>
    </row>
    <row r="32" spans="1:14">
      <c r="A32" s="268"/>
      <c r="B32" s="259"/>
      <c r="C32" s="335"/>
      <c r="D32" s="339" t="s">
        <v>16</v>
      </c>
      <c r="E32" s="340"/>
      <c r="F32" s="66">
        <f>SUM(F29:F31)</f>
        <v>8</v>
      </c>
      <c r="G32" s="152">
        <f>SUM(G29:G31)</f>
        <v>3840</v>
      </c>
      <c r="H32" s="166">
        <f>SUM(H29:H31)</f>
        <v>13</v>
      </c>
      <c r="I32" s="167">
        <f>SUM(I29:I31)</f>
        <v>6600</v>
      </c>
      <c r="J32" s="79">
        <f t="shared" si="0"/>
        <v>-0.86315789473684212</v>
      </c>
      <c r="K32" s="91">
        <f t="shared" si="0"/>
        <v>-0.85526315789473684</v>
      </c>
      <c r="L32" s="66">
        <f>SUM(L29:L31)</f>
        <v>95</v>
      </c>
      <c r="M32" s="152">
        <f>SUM(M29:M31)</f>
        <v>45600</v>
      </c>
      <c r="N32" s="185"/>
    </row>
    <row r="33" spans="1:14">
      <c r="A33" s="269"/>
      <c r="B33" s="260"/>
      <c r="C33" s="358" t="s">
        <v>20</v>
      </c>
      <c r="D33" s="358"/>
      <c r="E33" s="359"/>
      <c r="F33" s="67">
        <f>SUM(F28,F32)</f>
        <v>9</v>
      </c>
      <c r="G33" s="153">
        <f>SUM(G28,G32)</f>
        <v>4140</v>
      </c>
      <c r="H33" s="168">
        <f>H32+H28</f>
        <v>14</v>
      </c>
      <c r="I33" s="169">
        <f>I32+I28</f>
        <v>6900</v>
      </c>
      <c r="J33" s="80">
        <f t="shared" si="0"/>
        <v>-0.88429752066115697</v>
      </c>
      <c r="K33" s="92">
        <f t="shared" si="0"/>
        <v>-0.86385161799526444</v>
      </c>
      <c r="L33" s="67">
        <f>SUM(L28,L32)</f>
        <v>121</v>
      </c>
      <c r="M33" s="153">
        <f>SUM(M28,M32)</f>
        <v>50680</v>
      </c>
      <c r="N33" s="191"/>
    </row>
    <row r="34" spans="1:14">
      <c r="A34" s="348" t="s">
        <v>28</v>
      </c>
      <c r="B34" s="240"/>
      <c r="C34" s="240"/>
      <c r="D34" s="240"/>
      <c r="E34" s="241"/>
      <c r="F34" s="97">
        <f>F15+F24+F33</f>
        <v>14</v>
      </c>
      <c r="G34" s="158">
        <f>G15+G24+G33</f>
        <v>7120</v>
      </c>
      <c r="H34" s="173">
        <f>H15+H24+H33</f>
        <v>20</v>
      </c>
      <c r="I34" s="174">
        <f>I15+I24+I33</f>
        <v>10430</v>
      </c>
      <c r="J34" s="121">
        <f t="shared" si="0"/>
        <v>-0.90740740740740744</v>
      </c>
      <c r="K34" s="125">
        <f t="shared" si="0"/>
        <v>-0.89161384183726489</v>
      </c>
      <c r="L34" s="97">
        <f>L33+L24+L15</f>
        <v>216</v>
      </c>
      <c r="M34" s="158">
        <f>M33+M24+M15</f>
        <v>96230</v>
      </c>
      <c r="N34" s="185"/>
    </row>
    <row r="35" spans="1:14" ht="16.5" customHeight="1">
      <c r="A35" s="273" t="s">
        <v>46</v>
      </c>
      <c r="B35" s="383" t="s">
        <v>29</v>
      </c>
      <c r="C35" s="355" t="s">
        <v>30</v>
      </c>
      <c r="D35" s="46" t="s">
        <v>19</v>
      </c>
      <c r="E35" s="104">
        <v>990</v>
      </c>
      <c r="F35" s="98">
        <v>2</v>
      </c>
      <c r="G35" s="154">
        <f>F35*E35</f>
        <v>1980</v>
      </c>
      <c r="H35" s="17">
        <v>6</v>
      </c>
      <c r="I35" s="18">
        <f>H35*E35</f>
        <v>5940</v>
      </c>
      <c r="J35" s="19">
        <f t="shared" si="0"/>
        <v>-0.4</v>
      </c>
      <c r="K35" s="87">
        <f t="shared" si="0"/>
        <v>-0.58750000000000002</v>
      </c>
      <c r="L35" s="98">
        <v>10</v>
      </c>
      <c r="M35" s="154">
        <v>14400</v>
      </c>
      <c r="N35" s="186"/>
    </row>
    <row r="36" spans="1:14">
      <c r="A36" s="274"/>
      <c r="B36" s="384"/>
      <c r="C36" s="354"/>
      <c r="D36" s="60" t="s">
        <v>16</v>
      </c>
      <c r="E36" s="105">
        <v>0</v>
      </c>
      <c r="F36" s="99">
        <f>F35</f>
        <v>2</v>
      </c>
      <c r="G36" s="155">
        <f>G35</f>
        <v>1980</v>
      </c>
      <c r="H36" s="170">
        <f>H35</f>
        <v>6</v>
      </c>
      <c r="I36" s="171">
        <f>I35</f>
        <v>5940</v>
      </c>
      <c r="J36" s="78">
        <f t="shared" si="0"/>
        <v>-0.4</v>
      </c>
      <c r="K36" s="89">
        <f t="shared" si="0"/>
        <v>-0.58750000000000002</v>
      </c>
      <c r="L36" s="99">
        <f>SUM(L35)</f>
        <v>10</v>
      </c>
      <c r="M36" s="155">
        <f>SUM(M35)</f>
        <v>14400</v>
      </c>
      <c r="N36" s="186"/>
    </row>
    <row r="37" spans="1:14" hidden="1">
      <c r="A37" s="274"/>
      <c r="B37" s="385" t="s">
        <v>31</v>
      </c>
      <c r="C37" s="356" t="s">
        <v>32</v>
      </c>
      <c r="D37" s="45" t="s">
        <v>33</v>
      </c>
      <c r="E37" s="106">
        <v>50</v>
      </c>
      <c r="F37" s="100"/>
      <c r="G37" s="156"/>
      <c r="H37" s="21"/>
      <c r="I37" s="28"/>
      <c r="J37" s="9">
        <f t="shared" si="0"/>
        <v>-1</v>
      </c>
      <c r="K37" s="90">
        <f t="shared" si="0"/>
        <v>-1</v>
      </c>
      <c r="L37" s="100">
        <v>6</v>
      </c>
      <c r="M37" s="156">
        <v>300</v>
      </c>
      <c r="N37" s="186"/>
    </row>
    <row r="38" spans="1:14" hidden="1">
      <c r="A38" s="274"/>
      <c r="B38" s="316"/>
      <c r="C38" s="321"/>
      <c r="D38" s="40" t="s">
        <v>34</v>
      </c>
      <c r="E38" s="107">
        <v>100</v>
      </c>
      <c r="F38" s="101"/>
      <c r="G38" s="157"/>
      <c r="H38" s="20"/>
      <c r="I38" s="172"/>
      <c r="J38" s="77">
        <f t="shared" si="0"/>
        <v>-1</v>
      </c>
      <c r="K38" s="88">
        <f t="shared" si="0"/>
        <v>-1</v>
      </c>
      <c r="L38" s="101">
        <v>3</v>
      </c>
      <c r="M38" s="157">
        <v>300</v>
      </c>
      <c r="N38" s="186"/>
    </row>
    <row r="39" spans="1:14" hidden="1">
      <c r="A39" s="274"/>
      <c r="B39" s="316"/>
      <c r="C39" s="321"/>
      <c r="D39" s="40" t="s">
        <v>18</v>
      </c>
      <c r="E39" s="107">
        <v>150</v>
      </c>
      <c r="F39" s="101"/>
      <c r="G39" s="157"/>
      <c r="H39" s="20"/>
      <c r="I39" s="172"/>
      <c r="J39" s="77">
        <f t="shared" si="0"/>
        <v>-1</v>
      </c>
      <c r="K39" s="88">
        <f t="shared" si="0"/>
        <v>-1</v>
      </c>
      <c r="L39" s="101">
        <v>1</v>
      </c>
      <c r="M39" s="157">
        <v>150</v>
      </c>
      <c r="N39" s="186"/>
    </row>
    <row r="40" spans="1:14" hidden="1">
      <c r="A40" s="274"/>
      <c r="B40" s="316"/>
      <c r="C40" s="321"/>
      <c r="D40" s="40" t="s">
        <v>19</v>
      </c>
      <c r="E40" s="107">
        <v>200</v>
      </c>
      <c r="F40" s="101"/>
      <c r="G40" s="157"/>
      <c r="H40" s="20"/>
      <c r="I40" s="172"/>
      <c r="J40" s="77">
        <f t="shared" si="0"/>
        <v>-1</v>
      </c>
      <c r="K40" s="88">
        <f t="shared" si="0"/>
        <v>-1</v>
      </c>
      <c r="L40" s="101">
        <v>1</v>
      </c>
      <c r="M40" s="157">
        <v>200</v>
      </c>
      <c r="N40" s="186"/>
    </row>
    <row r="41" spans="1:14" hidden="1">
      <c r="A41" s="274"/>
      <c r="B41" s="316"/>
      <c r="C41" s="321"/>
      <c r="D41" s="40" t="s">
        <v>38</v>
      </c>
      <c r="E41" s="107">
        <v>250</v>
      </c>
      <c r="F41" s="101"/>
      <c r="G41" s="157"/>
      <c r="H41" s="20"/>
      <c r="I41" s="172"/>
      <c r="J41" s="77" t="str">
        <f t="shared" si="0"/>
        <v>-</v>
      </c>
      <c r="K41" s="88" t="str">
        <f t="shared" si="0"/>
        <v>-</v>
      </c>
      <c r="L41" s="101">
        <v>0</v>
      </c>
      <c r="M41" s="157">
        <v>0</v>
      </c>
      <c r="N41" s="186"/>
    </row>
    <row r="42" spans="1:14" hidden="1">
      <c r="A42" s="275"/>
      <c r="B42" s="352"/>
      <c r="C42" s="357"/>
      <c r="D42" s="60" t="s">
        <v>16</v>
      </c>
      <c r="E42" s="105">
        <v>0</v>
      </c>
      <c r="F42" s="99"/>
      <c r="G42" s="155"/>
      <c r="H42" s="170"/>
      <c r="I42" s="171"/>
      <c r="J42" s="78">
        <f t="shared" si="0"/>
        <v>-1</v>
      </c>
      <c r="K42" s="89">
        <f t="shared" si="0"/>
        <v>-1</v>
      </c>
      <c r="L42" s="99">
        <f>SUM(L37:L41)</f>
        <v>11</v>
      </c>
      <c r="M42" s="155">
        <f>SUM(M37:M41)</f>
        <v>950</v>
      </c>
      <c r="N42" s="192"/>
    </row>
    <row r="43" spans="1:14">
      <c r="A43" s="376" t="s">
        <v>47</v>
      </c>
      <c r="B43" s="377"/>
      <c r="C43" s="377"/>
      <c r="D43" s="377"/>
      <c r="E43" s="108">
        <v>0</v>
      </c>
      <c r="F43" s="97">
        <f>F42+F36</f>
        <v>2</v>
      </c>
      <c r="G43" s="158">
        <f>G42+G36</f>
        <v>1980</v>
      </c>
      <c r="H43" s="173">
        <f>H42+H36</f>
        <v>6</v>
      </c>
      <c r="I43" s="174">
        <f>I42+I36</f>
        <v>5940</v>
      </c>
      <c r="J43" s="121">
        <f t="shared" si="0"/>
        <v>-0.7142857142857143</v>
      </c>
      <c r="K43" s="125">
        <f t="shared" si="0"/>
        <v>-0.61302931596091204</v>
      </c>
      <c r="L43" s="97">
        <f>L42+L36</f>
        <v>21</v>
      </c>
      <c r="M43" s="158">
        <f>M42+M36</f>
        <v>15350</v>
      </c>
      <c r="N43" s="186"/>
    </row>
    <row r="44" spans="1:14" hidden="1">
      <c r="A44" s="378" t="s">
        <v>48</v>
      </c>
      <c r="B44" s="380" t="s">
        <v>11</v>
      </c>
      <c r="C44" s="381" t="s">
        <v>12</v>
      </c>
      <c r="D44" s="23" t="s">
        <v>13</v>
      </c>
      <c r="E44" s="68">
        <v>275</v>
      </c>
      <c r="F44" s="13">
        <v>0</v>
      </c>
      <c r="G44" s="14">
        <f>F44*E44</f>
        <v>0</v>
      </c>
      <c r="H44" s="15">
        <f>F44</f>
        <v>0</v>
      </c>
      <c r="I44" s="16">
        <f>H44*E44</f>
        <v>0</v>
      </c>
      <c r="J44" s="19">
        <f t="shared" ref="J44:K82" si="1">IFERROR(H44/L44-1,"-")</f>
        <v>-1</v>
      </c>
      <c r="K44" s="87">
        <f t="shared" si="1"/>
        <v>-1</v>
      </c>
      <c r="L44" s="84">
        <v>3</v>
      </c>
      <c r="M44" s="181">
        <v>650</v>
      </c>
      <c r="N44" s="187"/>
    </row>
    <row r="45" spans="1:14" hidden="1">
      <c r="A45" s="305"/>
      <c r="B45" s="307"/>
      <c r="C45" s="308"/>
      <c r="D45" s="22" t="s">
        <v>15</v>
      </c>
      <c r="E45" s="69">
        <v>180</v>
      </c>
      <c r="F45" s="12"/>
      <c r="G45" s="150"/>
      <c r="H45" s="10">
        <v>0</v>
      </c>
      <c r="I45" s="11">
        <f>H45*E45</f>
        <v>0</v>
      </c>
      <c r="J45" s="77" t="str">
        <f t="shared" si="1"/>
        <v>-</v>
      </c>
      <c r="K45" s="88" t="str">
        <f t="shared" si="1"/>
        <v>-</v>
      </c>
      <c r="L45" s="85">
        <v>0</v>
      </c>
      <c r="M45" s="182">
        <v>0</v>
      </c>
      <c r="N45" s="187"/>
    </row>
    <row r="46" spans="1:14" hidden="1">
      <c r="A46" s="305"/>
      <c r="B46" s="307"/>
      <c r="C46" s="308"/>
      <c r="D46" s="22" t="s">
        <v>37</v>
      </c>
      <c r="E46" s="69">
        <v>420</v>
      </c>
      <c r="F46" s="12">
        <v>0</v>
      </c>
      <c r="G46" s="150">
        <f>F46*E46</f>
        <v>0</v>
      </c>
      <c r="H46" s="10">
        <v>0</v>
      </c>
      <c r="I46" s="11">
        <f>H46*E46</f>
        <v>0</v>
      </c>
      <c r="J46" s="77" t="str">
        <f t="shared" si="1"/>
        <v>-</v>
      </c>
      <c r="K46" s="88" t="str">
        <f t="shared" si="1"/>
        <v>-</v>
      </c>
      <c r="L46" s="85">
        <v>0</v>
      </c>
      <c r="M46" s="182">
        <v>0</v>
      </c>
      <c r="N46" s="186"/>
    </row>
    <row r="47" spans="1:14" hidden="1">
      <c r="A47" s="305"/>
      <c r="B47" s="307"/>
      <c r="C47" s="347"/>
      <c r="D47" s="337" t="s">
        <v>16</v>
      </c>
      <c r="E47" s="251"/>
      <c r="F47" s="65">
        <f>SUM(F44:F46)</f>
        <v>0</v>
      </c>
      <c r="G47" s="151">
        <f>SUM(G44:G46)</f>
        <v>0</v>
      </c>
      <c r="H47" s="164">
        <f>SUM(H44:H46)</f>
        <v>0</v>
      </c>
      <c r="I47" s="165">
        <f>SUM(I44:I46)</f>
        <v>0</v>
      </c>
      <c r="J47" s="78">
        <f t="shared" si="1"/>
        <v>-1</v>
      </c>
      <c r="K47" s="89">
        <f t="shared" si="1"/>
        <v>-1</v>
      </c>
      <c r="L47" s="65">
        <f>SUM(L44:L46)</f>
        <v>3</v>
      </c>
      <c r="M47" s="151">
        <f>SUM(M44:M46)</f>
        <v>650</v>
      </c>
      <c r="N47" s="186"/>
    </row>
    <row r="48" spans="1:14" hidden="1">
      <c r="A48" s="305"/>
      <c r="B48" s="307"/>
      <c r="C48" s="346" t="s">
        <v>17</v>
      </c>
      <c r="D48" s="24" t="s">
        <v>18</v>
      </c>
      <c r="E48" s="70">
        <v>550</v>
      </c>
      <c r="F48" s="5"/>
      <c r="G48" s="6">
        <f>F48*E48</f>
        <v>0</v>
      </c>
      <c r="H48" s="7"/>
      <c r="I48" s="8">
        <f>H48*E48</f>
        <v>0</v>
      </c>
      <c r="J48" s="9">
        <f t="shared" si="1"/>
        <v>-1</v>
      </c>
      <c r="K48" s="90">
        <f t="shared" si="1"/>
        <v>-1</v>
      </c>
      <c r="L48" s="86">
        <v>1</v>
      </c>
      <c r="M48" s="183">
        <v>720</v>
      </c>
      <c r="N48" s="186"/>
    </row>
    <row r="49" spans="1:14" hidden="1">
      <c r="A49" s="305"/>
      <c r="B49" s="307"/>
      <c r="C49" s="308"/>
      <c r="D49" s="22" t="s">
        <v>19</v>
      </c>
      <c r="E49" s="69">
        <v>675</v>
      </c>
      <c r="F49" s="12"/>
      <c r="G49" s="150"/>
      <c r="H49" s="10">
        <v>0</v>
      </c>
      <c r="I49" s="11">
        <f>H49*E49</f>
        <v>0</v>
      </c>
      <c r="J49" s="77">
        <f t="shared" si="1"/>
        <v>-1</v>
      </c>
      <c r="K49" s="88">
        <f t="shared" si="1"/>
        <v>-1</v>
      </c>
      <c r="L49" s="85">
        <v>1</v>
      </c>
      <c r="M49" s="182">
        <v>880</v>
      </c>
      <c r="N49" s="186"/>
    </row>
    <row r="50" spans="1:14" hidden="1">
      <c r="A50" s="305"/>
      <c r="B50" s="307"/>
      <c r="C50" s="308"/>
      <c r="D50" s="22" t="s">
        <v>38</v>
      </c>
      <c r="E50" s="69">
        <v>810</v>
      </c>
      <c r="F50" s="12">
        <v>0</v>
      </c>
      <c r="G50" s="150">
        <f>F50*E50</f>
        <v>0</v>
      </c>
      <c r="H50" s="10">
        <v>0</v>
      </c>
      <c r="I50" s="11">
        <f>H50*E50</f>
        <v>0</v>
      </c>
      <c r="J50" s="77" t="str">
        <f t="shared" si="1"/>
        <v>-</v>
      </c>
      <c r="K50" s="88" t="str">
        <f t="shared" si="1"/>
        <v>-</v>
      </c>
      <c r="L50" s="85">
        <v>0</v>
      </c>
      <c r="M50" s="182">
        <v>0</v>
      </c>
      <c r="N50" s="186"/>
    </row>
    <row r="51" spans="1:14" hidden="1">
      <c r="A51" s="305"/>
      <c r="B51" s="307"/>
      <c r="C51" s="347"/>
      <c r="D51" s="337" t="s">
        <v>16</v>
      </c>
      <c r="E51" s="251"/>
      <c r="F51" s="65">
        <f>SUM(F48:F50)</f>
        <v>0</v>
      </c>
      <c r="G51" s="151">
        <f>SUM(G48:G50)</f>
        <v>0</v>
      </c>
      <c r="H51" s="164">
        <f>SUM(H48:H50)</f>
        <v>0</v>
      </c>
      <c r="I51" s="165">
        <f>SUM(I48:I50)</f>
        <v>0</v>
      </c>
      <c r="J51" s="78">
        <f t="shared" si="1"/>
        <v>-1</v>
      </c>
      <c r="K51" s="89">
        <f t="shared" si="1"/>
        <v>-1</v>
      </c>
      <c r="L51" s="65">
        <f>SUM(L48:L50)</f>
        <v>2</v>
      </c>
      <c r="M51" s="151">
        <f>SUM(M48:M50)</f>
        <v>1600</v>
      </c>
      <c r="N51" s="186"/>
    </row>
    <row r="52" spans="1:14" hidden="1">
      <c r="A52" s="305"/>
      <c r="B52" s="345"/>
      <c r="C52" s="368" t="s">
        <v>20</v>
      </c>
      <c r="D52" s="369"/>
      <c r="E52" s="370"/>
      <c r="F52" s="102">
        <f>SUM(F47,F51)</f>
        <v>0</v>
      </c>
      <c r="G52" s="159">
        <f>SUM(G47,G51)</f>
        <v>0</v>
      </c>
      <c r="H52" s="175">
        <f>H51+H47</f>
        <v>0</v>
      </c>
      <c r="I52" s="176">
        <f>I51+I47</f>
        <v>0</v>
      </c>
      <c r="J52" s="122">
        <f t="shared" si="1"/>
        <v>-1</v>
      </c>
      <c r="K52" s="126">
        <f t="shared" si="1"/>
        <v>-1</v>
      </c>
      <c r="L52" s="102">
        <f>L51+L47</f>
        <v>5</v>
      </c>
      <c r="M52" s="159">
        <f>M51+M47</f>
        <v>2250</v>
      </c>
      <c r="N52" s="186"/>
    </row>
    <row r="53" spans="1:14" hidden="1">
      <c r="A53" s="305"/>
      <c r="B53" s="344" t="s">
        <v>21</v>
      </c>
      <c r="C53" s="346" t="s">
        <v>12</v>
      </c>
      <c r="D53" s="24" t="s">
        <v>13</v>
      </c>
      <c r="E53" s="70">
        <v>190</v>
      </c>
      <c r="F53" s="5">
        <v>0</v>
      </c>
      <c r="G53" s="6">
        <f>F53*E53</f>
        <v>0</v>
      </c>
      <c r="H53" s="7">
        <v>0</v>
      </c>
      <c r="I53" s="8">
        <f>H53*E53</f>
        <v>0</v>
      </c>
      <c r="J53" s="9" t="str">
        <f t="shared" si="1"/>
        <v>-</v>
      </c>
      <c r="K53" s="90" t="str">
        <f t="shared" si="1"/>
        <v>-</v>
      </c>
      <c r="L53" s="86">
        <v>0</v>
      </c>
      <c r="M53" s="183">
        <v>0</v>
      </c>
      <c r="N53" s="188"/>
    </row>
    <row r="54" spans="1:14" hidden="1">
      <c r="A54" s="305"/>
      <c r="B54" s="307"/>
      <c r="C54" s="308"/>
      <c r="D54" s="22" t="s">
        <v>15</v>
      </c>
      <c r="E54" s="69">
        <v>120</v>
      </c>
      <c r="F54" s="12"/>
      <c r="G54" s="150"/>
      <c r="H54" s="10">
        <v>0</v>
      </c>
      <c r="I54" s="11">
        <f>H54*E54</f>
        <v>0</v>
      </c>
      <c r="J54" s="77" t="str">
        <f t="shared" si="1"/>
        <v>-</v>
      </c>
      <c r="K54" s="88" t="str">
        <f t="shared" si="1"/>
        <v>-</v>
      </c>
      <c r="L54" s="85">
        <v>0</v>
      </c>
      <c r="M54" s="182">
        <v>0</v>
      </c>
      <c r="N54" s="188"/>
    </row>
    <row r="55" spans="1:14" hidden="1">
      <c r="A55" s="305"/>
      <c r="B55" s="307"/>
      <c r="C55" s="308"/>
      <c r="D55" s="22" t="s">
        <v>37</v>
      </c>
      <c r="E55" s="69">
        <v>300</v>
      </c>
      <c r="F55" s="12">
        <v>0</v>
      </c>
      <c r="G55" s="150">
        <f>F55*E55</f>
        <v>0</v>
      </c>
      <c r="H55" s="10">
        <v>0</v>
      </c>
      <c r="I55" s="11">
        <f>H55*E55</f>
        <v>0</v>
      </c>
      <c r="J55" s="77" t="str">
        <f t="shared" si="1"/>
        <v>-</v>
      </c>
      <c r="K55" s="88" t="str">
        <f t="shared" si="1"/>
        <v>-</v>
      </c>
      <c r="L55" s="85">
        <v>0</v>
      </c>
      <c r="M55" s="182">
        <v>0</v>
      </c>
      <c r="N55" s="188"/>
    </row>
    <row r="56" spans="1:14" hidden="1">
      <c r="A56" s="305"/>
      <c r="B56" s="307"/>
      <c r="C56" s="347"/>
      <c r="D56" s="337" t="s">
        <v>16</v>
      </c>
      <c r="E56" s="251"/>
      <c r="F56" s="65">
        <f>SUM(F53:F55)</f>
        <v>0</v>
      </c>
      <c r="G56" s="151">
        <f>SUM(G53:G55)</f>
        <v>0</v>
      </c>
      <c r="H56" s="164">
        <f>SUM(H53:H55)</f>
        <v>0</v>
      </c>
      <c r="I56" s="165">
        <f>SUM(I53:I55)</f>
        <v>0</v>
      </c>
      <c r="J56" s="78" t="str">
        <f t="shared" si="1"/>
        <v>-</v>
      </c>
      <c r="K56" s="89" t="str">
        <f t="shared" si="1"/>
        <v>-</v>
      </c>
      <c r="L56" s="65">
        <f>SUM(L53:L55)</f>
        <v>0</v>
      </c>
      <c r="M56" s="151">
        <f>SUM(M53:M55)</f>
        <v>0</v>
      </c>
      <c r="N56" s="188"/>
    </row>
    <row r="57" spans="1:14" hidden="1">
      <c r="A57" s="305"/>
      <c r="B57" s="307"/>
      <c r="C57" s="346" t="s">
        <v>17</v>
      </c>
      <c r="D57" s="24" t="s">
        <v>18</v>
      </c>
      <c r="E57" s="70">
        <v>440</v>
      </c>
      <c r="F57" s="5">
        <v>0</v>
      </c>
      <c r="G57" s="6">
        <f>F57*E57</f>
        <v>0</v>
      </c>
      <c r="H57" s="7">
        <v>0</v>
      </c>
      <c r="I57" s="8">
        <f>H57*E57</f>
        <v>0</v>
      </c>
      <c r="J57" s="9" t="str">
        <f t="shared" si="1"/>
        <v>-</v>
      </c>
      <c r="K57" s="90" t="str">
        <f t="shared" si="1"/>
        <v>-</v>
      </c>
      <c r="L57" s="86">
        <v>0</v>
      </c>
      <c r="M57" s="183">
        <v>0</v>
      </c>
      <c r="N57" s="188"/>
    </row>
    <row r="58" spans="1:14" hidden="1">
      <c r="A58" s="305"/>
      <c r="B58" s="307"/>
      <c r="C58" s="308"/>
      <c r="D58" s="22" t="s">
        <v>19</v>
      </c>
      <c r="E58" s="69">
        <v>520</v>
      </c>
      <c r="F58" s="12">
        <v>0</v>
      </c>
      <c r="G58" s="150">
        <v>0</v>
      </c>
      <c r="H58" s="10">
        <v>0</v>
      </c>
      <c r="I58" s="11">
        <f>H58*E58</f>
        <v>0</v>
      </c>
      <c r="J58" s="77" t="str">
        <f t="shared" si="1"/>
        <v>-</v>
      </c>
      <c r="K58" s="88" t="str">
        <f t="shared" si="1"/>
        <v>-</v>
      </c>
      <c r="L58" s="85">
        <v>0</v>
      </c>
      <c r="M58" s="182">
        <v>0</v>
      </c>
      <c r="N58" s="188"/>
    </row>
    <row r="59" spans="1:14" hidden="1">
      <c r="A59" s="305"/>
      <c r="B59" s="307"/>
      <c r="C59" s="308"/>
      <c r="D59" s="22" t="s">
        <v>38</v>
      </c>
      <c r="E59" s="69">
        <v>600</v>
      </c>
      <c r="F59" s="12">
        <v>0</v>
      </c>
      <c r="G59" s="150">
        <f>F59*E59</f>
        <v>0</v>
      </c>
      <c r="H59" s="10">
        <v>0</v>
      </c>
      <c r="I59" s="11">
        <f>H59*E59</f>
        <v>0</v>
      </c>
      <c r="J59" s="77" t="str">
        <f t="shared" si="1"/>
        <v>-</v>
      </c>
      <c r="K59" s="88" t="str">
        <f t="shared" si="1"/>
        <v>-</v>
      </c>
      <c r="L59" s="85">
        <v>0</v>
      </c>
      <c r="M59" s="182">
        <v>0</v>
      </c>
      <c r="N59" s="188"/>
    </row>
    <row r="60" spans="1:14" hidden="1">
      <c r="A60" s="305"/>
      <c r="B60" s="307"/>
      <c r="C60" s="347"/>
      <c r="D60" s="337" t="s">
        <v>16</v>
      </c>
      <c r="E60" s="251"/>
      <c r="F60" s="65">
        <f>SUM(F57:F59)</f>
        <v>0</v>
      </c>
      <c r="G60" s="151">
        <f>SUM(G57:G59)</f>
        <v>0</v>
      </c>
      <c r="H60" s="164">
        <f>SUM(H57:H59)</f>
        <v>0</v>
      </c>
      <c r="I60" s="165">
        <f>SUM(I57:I59)</f>
        <v>0</v>
      </c>
      <c r="J60" s="78" t="str">
        <f t="shared" si="1"/>
        <v>-</v>
      </c>
      <c r="K60" s="89" t="str">
        <f t="shared" si="1"/>
        <v>-</v>
      </c>
      <c r="L60" s="65">
        <f>SUM(L57:L59)</f>
        <v>0</v>
      </c>
      <c r="M60" s="151">
        <f>SUM(M57:M59)</f>
        <v>0</v>
      </c>
      <c r="N60" s="188"/>
    </row>
    <row r="61" spans="1:14" hidden="1">
      <c r="A61" s="305"/>
      <c r="B61" s="345"/>
      <c r="C61" s="368" t="s">
        <v>20</v>
      </c>
      <c r="D61" s="369"/>
      <c r="E61" s="370"/>
      <c r="F61" s="102">
        <f>SUM(F56,F60)</f>
        <v>0</v>
      </c>
      <c r="G61" s="159">
        <f>SUM(G56,G60)</f>
        <v>0</v>
      </c>
      <c r="H61" s="175">
        <f>H60+H56</f>
        <v>0</v>
      </c>
      <c r="I61" s="176">
        <f>I60+I56</f>
        <v>0</v>
      </c>
      <c r="J61" s="122" t="str">
        <f t="shared" si="1"/>
        <v>-</v>
      </c>
      <c r="K61" s="126" t="str">
        <f t="shared" si="1"/>
        <v>-</v>
      </c>
      <c r="L61" s="102">
        <f>SUM(L56,L60)</f>
        <v>0</v>
      </c>
      <c r="M61" s="159">
        <f>SUM(M56,M60)</f>
        <v>0</v>
      </c>
      <c r="N61" s="188"/>
    </row>
    <row r="62" spans="1:14" hidden="1">
      <c r="A62" s="305"/>
      <c r="B62" s="344" t="s">
        <v>26</v>
      </c>
      <c r="C62" s="346" t="s">
        <v>12</v>
      </c>
      <c r="D62" s="24" t="s">
        <v>13</v>
      </c>
      <c r="E62" s="70">
        <v>190</v>
      </c>
      <c r="F62" s="5">
        <v>0</v>
      </c>
      <c r="G62" s="6">
        <f>F62*E62</f>
        <v>0</v>
      </c>
      <c r="H62" s="7">
        <v>0</v>
      </c>
      <c r="I62" s="8">
        <f>H62*E62</f>
        <v>0</v>
      </c>
      <c r="J62" s="9">
        <f t="shared" si="1"/>
        <v>-1</v>
      </c>
      <c r="K62" s="90">
        <f t="shared" si="1"/>
        <v>-1</v>
      </c>
      <c r="L62" s="86">
        <v>5</v>
      </c>
      <c r="M62" s="183">
        <v>1020</v>
      </c>
      <c r="N62" s="188"/>
    </row>
    <row r="63" spans="1:14" hidden="1">
      <c r="A63" s="305"/>
      <c r="B63" s="307"/>
      <c r="C63" s="308"/>
      <c r="D63" s="22" t="s">
        <v>15</v>
      </c>
      <c r="E63" s="69">
        <v>120</v>
      </c>
      <c r="F63" s="12">
        <v>0</v>
      </c>
      <c r="G63" s="150">
        <v>0</v>
      </c>
      <c r="H63" s="10">
        <v>0</v>
      </c>
      <c r="I63" s="11">
        <f>H63*E63</f>
        <v>0</v>
      </c>
      <c r="J63" s="77" t="str">
        <f t="shared" si="1"/>
        <v>-</v>
      </c>
      <c r="K63" s="88" t="str">
        <f t="shared" si="1"/>
        <v>-</v>
      </c>
      <c r="L63" s="85">
        <v>0</v>
      </c>
      <c r="M63" s="182">
        <v>0</v>
      </c>
      <c r="N63" s="188"/>
    </row>
    <row r="64" spans="1:14" hidden="1">
      <c r="A64" s="305"/>
      <c r="B64" s="307"/>
      <c r="C64" s="308"/>
      <c r="D64" s="22" t="s">
        <v>37</v>
      </c>
      <c r="E64" s="69">
        <v>300</v>
      </c>
      <c r="F64" s="12">
        <v>0</v>
      </c>
      <c r="G64" s="150">
        <f>F64*E64</f>
        <v>0</v>
      </c>
      <c r="H64" s="10">
        <v>0</v>
      </c>
      <c r="I64" s="11">
        <f>H64*E64</f>
        <v>0</v>
      </c>
      <c r="J64" s="77">
        <f t="shared" si="1"/>
        <v>-1</v>
      </c>
      <c r="K64" s="88">
        <f t="shared" si="1"/>
        <v>-1</v>
      </c>
      <c r="L64" s="85">
        <v>5</v>
      </c>
      <c r="M64" s="182">
        <v>1800</v>
      </c>
      <c r="N64" s="188"/>
    </row>
    <row r="65" spans="1:14" hidden="1">
      <c r="A65" s="305"/>
      <c r="B65" s="307"/>
      <c r="C65" s="347"/>
      <c r="D65" s="337" t="s">
        <v>16</v>
      </c>
      <c r="E65" s="251"/>
      <c r="F65" s="65">
        <f>SUM(F62:F64)</f>
        <v>0</v>
      </c>
      <c r="G65" s="151">
        <f>SUM(G62:G64)</f>
        <v>0</v>
      </c>
      <c r="H65" s="164">
        <f>SUM(H62:H64)</f>
        <v>0</v>
      </c>
      <c r="I65" s="165">
        <f>SUM(I62:I64)</f>
        <v>0</v>
      </c>
      <c r="J65" s="78">
        <f t="shared" si="1"/>
        <v>-1</v>
      </c>
      <c r="K65" s="89">
        <f t="shared" si="1"/>
        <v>-1</v>
      </c>
      <c r="L65" s="65">
        <f>SUM(L62:L64)</f>
        <v>10</v>
      </c>
      <c r="M65" s="151">
        <f>SUM(M62:M64)</f>
        <v>2820</v>
      </c>
      <c r="N65" s="188"/>
    </row>
    <row r="66" spans="1:14" hidden="1">
      <c r="A66" s="305"/>
      <c r="B66" s="307"/>
      <c r="C66" s="346" t="s">
        <v>17</v>
      </c>
      <c r="D66" s="24" t="s">
        <v>18</v>
      </c>
      <c r="E66" s="70">
        <v>440</v>
      </c>
      <c r="F66" s="5">
        <v>0</v>
      </c>
      <c r="G66" s="6">
        <f>F66*E66</f>
        <v>0</v>
      </c>
      <c r="H66" s="7">
        <v>0</v>
      </c>
      <c r="I66" s="8">
        <f>H66*E66</f>
        <v>0</v>
      </c>
      <c r="J66" s="9">
        <f t="shared" si="1"/>
        <v>-1</v>
      </c>
      <c r="K66" s="90">
        <f t="shared" si="1"/>
        <v>-1</v>
      </c>
      <c r="L66" s="86">
        <v>3</v>
      </c>
      <c r="M66" s="183">
        <v>1770</v>
      </c>
      <c r="N66" s="188"/>
    </row>
    <row r="67" spans="1:14" hidden="1">
      <c r="A67" s="305"/>
      <c r="B67" s="307"/>
      <c r="C67" s="308"/>
      <c r="D67" s="22" t="s">
        <v>19</v>
      </c>
      <c r="E67" s="69">
        <v>520</v>
      </c>
      <c r="F67" s="12">
        <v>0</v>
      </c>
      <c r="G67" s="150">
        <v>0</v>
      </c>
      <c r="H67" s="10">
        <v>0</v>
      </c>
      <c r="I67" s="11">
        <f>H67*E67</f>
        <v>0</v>
      </c>
      <c r="J67" s="77">
        <f t="shared" si="1"/>
        <v>-1</v>
      </c>
      <c r="K67" s="88">
        <f t="shared" si="1"/>
        <v>-1</v>
      </c>
      <c r="L67" s="85">
        <v>3</v>
      </c>
      <c r="M67" s="182">
        <v>2160</v>
      </c>
      <c r="N67" s="188"/>
    </row>
    <row r="68" spans="1:14" hidden="1">
      <c r="A68" s="305"/>
      <c r="B68" s="307"/>
      <c r="C68" s="308"/>
      <c r="D68" s="22" t="s">
        <v>38</v>
      </c>
      <c r="E68" s="69">
        <v>600</v>
      </c>
      <c r="F68" s="12">
        <v>0</v>
      </c>
      <c r="G68" s="150">
        <f>F68*E68</f>
        <v>0</v>
      </c>
      <c r="H68" s="10">
        <v>0</v>
      </c>
      <c r="I68" s="11">
        <f>H68*E68</f>
        <v>0</v>
      </c>
      <c r="J68" s="77" t="str">
        <f t="shared" si="1"/>
        <v>-</v>
      </c>
      <c r="K68" s="88" t="str">
        <f t="shared" si="1"/>
        <v>-</v>
      </c>
      <c r="L68" s="85">
        <v>0</v>
      </c>
      <c r="M68" s="182">
        <v>0</v>
      </c>
      <c r="N68" s="188"/>
    </row>
    <row r="69" spans="1:14" hidden="1">
      <c r="A69" s="305"/>
      <c r="B69" s="307"/>
      <c r="C69" s="347"/>
      <c r="D69" s="337" t="s">
        <v>16</v>
      </c>
      <c r="E69" s="251"/>
      <c r="F69" s="65">
        <f>SUM(F66:F68)</f>
        <v>0</v>
      </c>
      <c r="G69" s="151">
        <f>SUM(G66:G68)</f>
        <v>0</v>
      </c>
      <c r="H69" s="164">
        <f>SUM(H66:H68)</f>
        <v>0</v>
      </c>
      <c r="I69" s="165">
        <f>SUM(I66:I68)</f>
        <v>0</v>
      </c>
      <c r="J69" s="78">
        <f t="shared" si="1"/>
        <v>-1</v>
      </c>
      <c r="K69" s="89">
        <f t="shared" si="1"/>
        <v>-1</v>
      </c>
      <c r="L69" s="65">
        <f>SUM(L66:L68)</f>
        <v>6</v>
      </c>
      <c r="M69" s="151">
        <f>SUM(M66:M68)</f>
        <v>3930</v>
      </c>
      <c r="N69" s="188"/>
    </row>
    <row r="70" spans="1:14" hidden="1">
      <c r="A70" s="379"/>
      <c r="B70" s="345"/>
      <c r="C70" s="368" t="s">
        <v>20</v>
      </c>
      <c r="D70" s="369"/>
      <c r="E70" s="370"/>
      <c r="F70" s="102">
        <f>SUM(F65,F69)</f>
        <v>0</v>
      </c>
      <c r="G70" s="159">
        <f>SUM(G65,G69)</f>
        <v>0</v>
      </c>
      <c r="H70" s="175">
        <f>H69+H65</f>
        <v>0</v>
      </c>
      <c r="I70" s="176">
        <f>I69+I65</f>
        <v>0</v>
      </c>
      <c r="J70" s="122">
        <f t="shared" si="1"/>
        <v>-1</v>
      </c>
      <c r="K70" s="126">
        <f t="shared" si="1"/>
        <v>-1</v>
      </c>
      <c r="L70" s="102">
        <f>L69+L65</f>
        <v>16</v>
      </c>
      <c r="M70" s="159">
        <f>M69+M65</f>
        <v>6750</v>
      </c>
      <c r="N70" s="188"/>
    </row>
    <row r="71" spans="1:14" hidden="1">
      <c r="A71" s="239" t="s">
        <v>49</v>
      </c>
      <c r="B71" s="240"/>
      <c r="C71" s="240"/>
      <c r="D71" s="240"/>
      <c r="E71" s="241"/>
      <c r="F71" s="97">
        <f>F70+F61+F52</f>
        <v>0</v>
      </c>
      <c r="G71" s="158">
        <f>G70+G61+G52</f>
        <v>0</v>
      </c>
      <c r="H71" s="173">
        <f>H70+H61+H52</f>
        <v>0</v>
      </c>
      <c r="I71" s="174">
        <f>I70+I61+I52</f>
        <v>0</v>
      </c>
      <c r="J71" s="121">
        <f t="shared" si="1"/>
        <v>-1</v>
      </c>
      <c r="K71" s="125">
        <f t="shared" si="1"/>
        <v>-1</v>
      </c>
      <c r="L71" s="97">
        <f>L70+L61+L52</f>
        <v>21</v>
      </c>
      <c r="M71" s="158">
        <f>M70+M61+M52</f>
        <v>9000</v>
      </c>
      <c r="N71" s="188"/>
    </row>
    <row r="72" spans="1:14" ht="16.5" hidden="1" customHeight="1">
      <c r="A72" s="360" t="s">
        <v>51</v>
      </c>
      <c r="B72" s="362" t="s">
        <v>50</v>
      </c>
      <c r="C72" s="364" t="s">
        <v>12</v>
      </c>
      <c r="D72" s="61" t="s">
        <v>52</v>
      </c>
      <c r="E72" s="109"/>
      <c r="F72" s="98"/>
      <c r="G72" s="154"/>
      <c r="H72" s="17"/>
      <c r="I72" s="18"/>
      <c r="J72" s="19">
        <f t="shared" si="1"/>
        <v>-1</v>
      </c>
      <c r="K72" s="87">
        <f t="shared" si="1"/>
        <v>-1</v>
      </c>
      <c r="L72" s="98">
        <v>15</v>
      </c>
      <c r="M72" s="154">
        <f>1690+910</f>
        <v>2600</v>
      </c>
      <c r="N72" s="189"/>
    </row>
    <row r="73" spans="1:14" hidden="1">
      <c r="A73" s="319"/>
      <c r="B73" s="324"/>
      <c r="C73" s="317"/>
      <c r="D73" s="51" t="s">
        <v>53</v>
      </c>
      <c r="E73" s="110"/>
      <c r="F73" s="101"/>
      <c r="G73" s="157"/>
      <c r="H73" s="20"/>
      <c r="I73" s="172"/>
      <c r="J73" s="77" t="str">
        <f t="shared" si="1"/>
        <v>-</v>
      </c>
      <c r="K73" s="88" t="str">
        <f t="shared" si="1"/>
        <v>-</v>
      </c>
      <c r="L73" s="101">
        <v>0</v>
      </c>
      <c r="M73" s="157">
        <v>0</v>
      </c>
      <c r="N73" s="189"/>
    </row>
    <row r="74" spans="1:14" hidden="1">
      <c r="A74" s="319"/>
      <c r="B74" s="324"/>
      <c r="C74" s="317"/>
      <c r="D74" s="51" t="s">
        <v>37</v>
      </c>
      <c r="E74" s="110"/>
      <c r="F74" s="101"/>
      <c r="G74" s="157"/>
      <c r="H74" s="20"/>
      <c r="I74" s="172"/>
      <c r="J74" s="77">
        <f t="shared" si="1"/>
        <v>-1</v>
      </c>
      <c r="K74" s="88">
        <f t="shared" si="1"/>
        <v>-1</v>
      </c>
      <c r="L74" s="101">
        <v>1</v>
      </c>
      <c r="M74" s="157">
        <v>310</v>
      </c>
      <c r="N74" s="189"/>
    </row>
    <row r="75" spans="1:14" hidden="1">
      <c r="A75" s="319"/>
      <c r="B75" s="324"/>
      <c r="C75" s="365"/>
      <c r="D75" s="366" t="s">
        <v>16</v>
      </c>
      <c r="E75" s="249"/>
      <c r="F75" s="99">
        <f>SUM(F72:F74)</f>
        <v>0</v>
      </c>
      <c r="G75" s="155">
        <f>SUM(G72:G74)</f>
        <v>0</v>
      </c>
      <c r="H75" s="170">
        <f>SUM(H72:H74)</f>
        <v>0</v>
      </c>
      <c r="I75" s="171">
        <f>SUM(I72:I74)</f>
        <v>0</v>
      </c>
      <c r="J75" s="78">
        <f t="shared" si="1"/>
        <v>-1</v>
      </c>
      <c r="K75" s="89">
        <f t="shared" si="1"/>
        <v>-1</v>
      </c>
      <c r="L75" s="99">
        <f>SUM(L72:L74)</f>
        <v>16</v>
      </c>
      <c r="M75" s="155">
        <f>SUM(M72:M74)</f>
        <v>2910</v>
      </c>
      <c r="N75" s="189"/>
    </row>
    <row r="76" spans="1:14" hidden="1">
      <c r="A76" s="319"/>
      <c r="B76" s="324"/>
      <c r="C76" s="367" t="s">
        <v>17</v>
      </c>
      <c r="D76" s="59" t="s">
        <v>18</v>
      </c>
      <c r="E76" s="111"/>
      <c r="F76" s="100"/>
      <c r="G76" s="156"/>
      <c r="H76" s="21"/>
      <c r="I76" s="28"/>
      <c r="J76" s="9">
        <f t="shared" si="1"/>
        <v>-1</v>
      </c>
      <c r="K76" s="90">
        <f t="shared" si="1"/>
        <v>-1</v>
      </c>
      <c r="L76" s="100">
        <f>33+4+1+9</f>
        <v>47</v>
      </c>
      <c r="M76" s="156">
        <f>14520+1760+490+4410</f>
        <v>21180</v>
      </c>
      <c r="N76" s="189"/>
    </row>
    <row r="77" spans="1:14" hidden="1">
      <c r="A77" s="319"/>
      <c r="B77" s="324"/>
      <c r="C77" s="317"/>
      <c r="D77" s="51" t="s">
        <v>19</v>
      </c>
      <c r="E77" s="110"/>
      <c r="F77" s="101"/>
      <c r="G77" s="157"/>
      <c r="H77" s="20"/>
      <c r="I77" s="172"/>
      <c r="J77" s="77">
        <f t="shared" si="1"/>
        <v>-1</v>
      </c>
      <c r="K77" s="88">
        <f t="shared" si="1"/>
        <v>-1</v>
      </c>
      <c r="L77" s="101">
        <f>34+6</f>
        <v>40</v>
      </c>
      <c r="M77" s="157">
        <f>17680+3420</f>
        <v>21100</v>
      </c>
      <c r="N77" s="189"/>
    </row>
    <row r="78" spans="1:14" hidden="1">
      <c r="A78" s="319"/>
      <c r="B78" s="324"/>
      <c r="C78" s="317"/>
      <c r="D78" s="51" t="s">
        <v>38</v>
      </c>
      <c r="E78" s="110"/>
      <c r="F78" s="101"/>
      <c r="G78" s="157"/>
      <c r="H78" s="20"/>
      <c r="I78" s="172"/>
      <c r="J78" s="77" t="str">
        <f t="shared" si="1"/>
        <v>-</v>
      </c>
      <c r="K78" s="88" t="str">
        <f t="shared" si="1"/>
        <v>-</v>
      </c>
      <c r="L78" s="101">
        <v>0</v>
      </c>
      <c r="M78" s="157">
        <v>0</v>
      </c>
      <c r="N78" s="189"/>
    </row>
    <row r="79" spans="1:14" hidden="1">
      <c r="A79" s="319"/>
      <c r="B79" s="324"/>
      <c r="C79" s="365"/>
      <c r="D79" s="366" t="s">
        <v>16</v>
      </c>
      <c r="E79" s="249"/>
      <c r="F79" s="99">
        <f>SUM(F76:F78)</f>
        <v>0</v>
      </c>
      <c r="G79" s="155">
        <f>SUM(G76:G78)</f>
        <v>0</v>
      </c>
      <c r="H79" s="170">
        <f>SUM(H76:H78)</f>
        <v>0</v>
      </c>
      <c r="I79" s="171">
        <f>SUM(I76:I78)</f>
        <v>0</v>
      </c>
      <c r="J79" s="78">
        <f t="shared" si="1"/>
        <v>-1</v>
      </c>
      <c r="K79" s="89">
        <f t="shared" si="1"/>
        <v>-1</v>
      </c>
      <c r="L79" s="99">
        <f>SUM(L76:L78)</f>
        <v>87</v>
      </c>
      <c r="M79" s="155">
        <f>SUM(M76:M78)</f>
        <v>42280</v>
      </c>
      <c r="N79" s="189"/>
    </row>
    <row r="80" spans="1:14" hidden="1">
      <c r="A80" s="319"/>
      <c r="B80" s="324"/>
      <c r="C80" s="367" t="s">
        <v>54</v>
      </c>
      <c r="D80" s="59" t="s">
        <v>19</v>
      </c>
      <c r="E80" s="111"/>
      <c r="F80" s="100"/>
      <c r="G80" s="156"/>
      <c r="H80" s="21"/>
      <c r="I80" s="28"/>
      <c r="J80" s="9" t="str">
        <f t="shared" si="1"/>
        <v>-</v>
      </c>
      <c r="K80" s="90" t="str">
        <f t="shared" si="1"/>
        <v>-</v>
      </c>
      <c r="L80" s="100">
        <v>0</v>
      </c>
      <c r="M80" s="156">
        <v>0</v>
      </c>
      <c r="N80" s="189"/>
    </row>
    <row r="81" spans="1:14" hidden="1">
      <c r="A81" s="361"/>
      <c r="B81" s="363"/>
      <c r="C81" s="365"/>
      <c r="D81" s="366" t="s">
        <v>16</v>
      </c>
      <c r="E81" s="249"/>
      <c r="F81" s="99">
        <f>SUM(F80)</f>
        <v>0</v>
      </c>
      <c r="G81" s="155">
        <f>SUM(G80)</f>
        <v>0</v>
      </c>
      <c r="H81" s="170">
        <f>SUM(H80)</f>
        <v>0</v>
      </c>
      <c r="I81" s="171">
        <f>SUM(I80)</f>
        <v>0</v>
      </c>
      <c r="J81" s="78" t="str">
        <f t="shared" si="1"/>
        <v>-</v>
      </c>
      <c r="K81" s="89" t="str">
        <f t="shared" si="1"/>
        <v>-</v>
      </c>
      <c r="L81" s="99">
        <f>SUM(L80)</f>
        <v>0</v>
      </c>
      <c r="M81" s="155">
        <f>SUM(M80)</f>
        <v>0</v>
      </c>
      <c r="N81" s="189"/>
    </row>
    <row r="82" spans="1:14" hidden="1">
      <c r="A82" s="371" t="s">
        <v>58</v>
      </c>
      <c r="B82" s="372"/>
      <c r="C82" s="372"/>
      <c r="D82" s="372"/>
      <c r="E82" s="373"/>
      <c r="F82" s="103">
        <f>F81+F79+F75</f>
        <v>0</v>
      </c>
      <c r="G82" s="160">
        <f>G81+G79+G75</f>
        <v>0</v>
      </c>
      <c r="H82" s="177">
        <f>H81+H79+H75</f>
        <v>0</v>
      </c>
      <c r="I82" s="178">
        <f>I81+I79+I75</f>
        <v>0</v>
      </c>
      <c r="J82" s="121">
        <f t="shared" si="1"/>
        <v>-1</v>
      </c>
      <c r="K82" s="125">
        <f t="shared" si="1"/>
        <v>-1</v>
      </c>
      <c r="L82" s="103">
        <f>L81+L79+L75</f>
        <v>103</v>
      </c>
      <c r="M82" s="160">
        <f>M81+M79+M75</f>
        <v>45190</v>
      </c>
      <c r="N82" s="188"/>
    </row>
    <row r="83" spans="1:14" ht="17.25" thickBot="1">
      <c r="A83" s="374" t="s">
        <v>55</v>
      </c>
      <c r="B83" s="374"/>
      <c r="C83" s="374"/>
      <c r="D83" s="374"/>
      <c r="E83" s="375"/>
      <c r="F83" s="142">
        <f>F82+F71+F43+F34</f>
        <v>16</v>
      </c>
      <c r="G83" s="146">
        <f>G82+G71+G43+G34</f>
        <v>9100</v>
      </c>
      <c r="H83" s="179">
        <f>H82+H71+H43+H34</f>
        <v>26</v>
      </c>
      <c r="I83" s="180">
        <f>I82+I71+I43+I34</f>
        <v>16370</v>
      </c>
      <c r="J83" s="161">
        <f>IFERROR(H83/L83-1,"-")</f>
        <v>-0.92797783933518008</v>
      </c>
      <c r="K83" s="148">
        <f>IFERROR(I83/M83-1,"-")</f>
        <v>-0.90124871810339624</v>
      </c>
      <c r="L83" s="142">
        <f>L82+L71+L43+L34</f>
        <v>361</v>
      </c>
      <c r="M83" s="146">
        <f>M82+M71+M43+M34</f>
        <v>165770</v>
      </c>
      <c r="N83" s="190"/>
    </row>
    <row r="84" spans="1:14">
      <c r="A84" s="25" t="s">
        <v>42</v>
      </c>
    </row>
    <row r="85" spans="1:14">
      <c r="A85" s="25" t="s">
        <v>40</v>
      </c>
    </row>
    <row r="86" spans="1:14">
      <c r="A86" s="25" t="s">
        <v>41</v>
      </c>
    </row>
  </sheetData>
  <mergeCells count="63">
    <mergeCell ref="A83:E83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D65:E65"/>
    <mergeCell ref="C66:C69"/>
    <mergeCell ref="D69:E69"/>
    <mergeCell ref="C70:E70"/>
    <mergeCell ref="A82:E82"/>
    <mergeCell ref="A43:D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A34:E34"/>
    <mergeCell ref="A35:A42"/>
    <mergeCell ref="B35:B36"/>
    <mergeCell ref="C35:C36"/>
    <mergeCell ref="B37:B42"/>
    <mergeCell ref="C37:C42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A5:D6"/>
    <mergeCell ref="E5:E6"/>
    <mergeCell ref="F5:G5"/>
    <mergeCell ref="H5:I5"/>
    <mergeCell ref="J5:K5"/>
    <mergeCell ref="L5:M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9013-D4FD-4999-85E4-F2A66BFA4CF8}">
  <dimension ref="A1:N86"/>
  <sheetViews>
    <sheetView showGridLines="0" topLeftCell="A6" zoomScale="85" zoomScaleNormal="85" workbookViewId="0">
      <selection activeCell="L84" sqref="L84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spans="1:14" ht="20.25">
      <c r="A1" s="26" t="s">
        <v>61</v>
      </c>
    </row>
    <row r="2" spans="1:14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7.25" thickBot="1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7" t="s">
        <v>1</v>
      </c>
    </row>
    <row r="5" spans="1:14" ht="23.25" customHeight="1">
      <c r="A5" s="289" t="s">
        <v>2</v>
      </c>
      <c r="B5" s="290"/>
      <c r="C5" s="290"/>
      <c r="D5" s="291"/>
      <c r="E5" s="295" t="s">
        <v>3</v>
      </c>
      <c r="F5" s="342" t="s">
        <v>62</v>
      </c>
      <c r="G5" s="298"/>
      <c r="H5" s="299" t="s">
        <v>39</v>
      </c>
      <c r="I5" s="300"/>
      <c r="J5" s="301" t="s">
        <v>4</v>
      </c>
      <c r="K5" s="285"/>
      <c r="L5" s="301" t="s">
        <v>44</v>
      </c>
      <c r="M5" s="285"/>
      <c r="N5" s="286" t="s">
        <v>5</v>
      </c>
    </row>
    <row r="6" spans="1:14">
      <c r="A6" s="292"/>
      <c r="B6" s="293"/>
      <c r="C6" s="293"/>
      <c r="D6" s="294"/>
      <c r="E6" s="296"/>
      <c r="F6" s="62" t="s">
        <v>6</v>
      </c>
      <c r="G6" s="149" t="s">
        <v>7</v>
      </c>
      <c r="H6" s="162" t="s">
        <v>8</v>
      </c>
      <c r="I6" s="163" t="s">
        <v>9</v>
      </c>
      <c r="J6" s="63" t="s">
        <v>8</v>
      </c>
      <c r="K6" s="64" t="s">
        <v>9</v>
      </c>
      <c r="L6" s="63" t="s">
        <v>8</v>
      </c>
      <c r="M6" s="64" t="s">
        <v>9</v>
      </c>
      <c r="N6" s="287"/>
    </row>
    <row r="7" spans="1:14">
      <c r="A7" s="288" t="s">
        <v>10</v>
      </c>
      <c r="B7" s="258" t="s">
        <v>11</v>
      </c>
      <c r="C7" s="334" t="s">
        <v>12</v>
      </c>
      <c r="D7" s="23" t="s">
        <v>13</v>
      </c>
      <c r="E7" s="68">
        <v>275</v>
      </c>
      <c r="F7" s="13">
        <v>0</v>
      </c>
      <c r="G7" s="14">
        <f>F7*E7</f>
        <v>0</v>
      </c>
      <c r="H7" s="15">
        <f>F7</f>
        <v>0</v>
      </c>
      <c r="I7" s="16">
        <f>H7*E7</f>
        <v>0</v>
      </c>
      <c r="J7" s="19">
        <f t="shared" ref="J7:K43" si="0">IFERROR(H7/L7-1,"-")</f>
        <v>-1</v>
      </c>
      <c r="K7" s="87">
        <f t="shared" si="0"/>
        <v>-1</v>
      </c>
      <c r="L7" s="84">
        <f>3+5</f>
        <v>8</v>
      </c>
      <c r="M7" s="181">
        <f>690+1210</f>
        <v>1900</v>
      </c>
      <c r="N7" s="184" t="s">
        <v>14</v>
      </c>
    </row>
    <row r="8" spans="1:14">
      <c r="A8" s="268"/>
      <c r="B8" s="259"/>
      <c r="C8" s="335"/>
      <c r="D8" s="22" t="s">
        <v>15</v>
      </c>
      <c r="E8" s="69">
        <v>180</v>
      </c>
      <c r="F8" s="12">
        <v>0</v>
      </c>
      <c r="G8" s="150">
        <v>0</v>
      </c>
      <c r="H8" s="10">
        <v>0</v>
      </c>
      <c r="I8" s="11">
        <f>H8*E8</f>
        <v>0</v>
      </c>
      <c r="J8" s="77" t="str">
        <f t="shared" si="0"/>
        <v>-</v>
      </c>
      <c r="K8" s="88" t="str">
        <f t="shared" si="0"/>
        <v>-</v>
      </c>
      <c r="L8" s="85">
        <v>0</v>
      </c>
      <c r="M8" s="182">
        <v>0</v>
      </c>
      <c r="N8" s="185"/>
    </row>
    <row r="9" spans="1:14">
      <c r="A9" s="268"/>
      <c r="B9" s="259"/>
      <c r="C9" s="335"/>
      <c r="D9" s="22" t="s">
        <v>37</v>
      </c>
      <c r="E9" s="69">
        <v>420</v>
      </c>
      <c r="F9" s="12">
        <v>0</v>
      </c>
      <c r="G9" s="150">
        <f>F9*E9</f>
        <v>0</v>
      </c>
      <c r="H9" s="10">
        <v>0</v>
      </c>
      <c r="I9" s="11">
        <f>H9*E9</f>
        <v>0</v>
      </c>
      <c r="J9" s="77">
        <f t="shared" si="0"/>
        <v>-1</v>
      </c>
      <c r="K9" s="88">
        <f t="shared" si="0"/>
        <v>-1</v>
      </c>
      <c r="L9" s="85">
        <v>1</v>
      </c>
      <c r="M9" s="182">
        <v>430</v>
      </c>
      <c r="N9" s="185"/>
    </row>
    <row r="10" spans="1:14">
      <c r="A10" s="268"/>
      <c r="B10" s="259"/>
      <c r="C10" s="336"/>
      <c r="D10" s="337" t="s">
        <v>16</v>
      </c>
      <c r="E10" s="251"/>
      <c r="F10" s="65">
        <f>SUM(F7:F9)</f>
        <v>0</v>
      </c>
      <c r="G10" s="151">
        <f>SUM(G7:G9)</f>
        <v>0</v>
      </c>
      <c r="H10" s="164">
        <f>SUM(H7:H9)</f>
        <v>0</v>
      </c>
      <c r="I10" s="165">
        <f>SUM(I7:I9)</f>
        <v>0</v>
      </c>
      <c r="J10" s="78">
        <f t="shared" si="0"/>
        <v>-1</v>
      </c>
      <c r="K10" s="89">
        <f t="shared" si="0"/>
        <v>-1</v>
      </c>
      <c r="L10" s="65">
        <f>SUM(L7:L9)</f>
        <v>9</v>
      </c>
      <c r="M10" s="151">
        <f>SUM(M7:M9)</f>
        <v>2330</v>
      </c>
      <c r="N10" s="185"/>
    </row>
    <row r="11" spans="1:14">
      <c r="A11" s="268"/>
      <c r="B11" s="259"/>
      <c r="C11" s="338" t="s">
        <v>17</v>
      </c>
      <c r="D11" s="24" t="s">
        <v>18</v>
      </c>
      <c r="E11" s="70">
        <v>550</v>
      </c>
      <c r="F11" s="5">
        <v>0</v>
      </c>
      <c r="G11" s="6">
        <f>F11*E11</f>
        <v>0</v>
      </c>
      <c r="H11" s="7">
        <v>4</v>
      </c>
      <c r="I11" s="8">
        <f>H11*E11</f>
        <v>2200</v>
      </c>
      <c r="J11" s="9">
        <f t="shared" si="0"/>
        <v>-0.8</v>
      </c>
      <c r="K11" s="90">
        <f t="shared" si="0"/>
        <v>-0.79245283018867929</v>
      </c>
      <c r="L11" s="86">
        <v>20</v>
      </c>
      <c r="M11" s="183">
        <f>1060+9540</f>
        <v>10600</v>
      </c>
      <c r="N11" s="185"/>
    </row>
    <row r="12" spans="1:14">
      <c r="A12" s="268"/>
      <c r="B12" s="259"/>
      <c r="C12" s="335"/>
      <c r="D12" s="22" t="s">
        <v>19</v>
      </c>
      <c r="E12" s="69">
        <v>675</v>
      </c>
      <c r="F12" s="12">
        <v>2</v>
      </c>
      <c r="G12" s="150">
        <f>F12*E12</f>
        <v>1350</v>
      </c>
      <c r="H12" s="10">
        <v>2</v>
      </c>
      <c r="I12" s="11">
        <f>H12*E12</f>
        <v>1350</v>
      </c>
      <c r="J12" s="77">
        <f t="shared" si="0"/>
        <v>-0.9285714285714286</v>
      </c>
      <c r="K12" s="88">
        <f t="shared" si="0"/>
        <v>-0.921875</v>
      </c>
      <c r="L12" s="85">
        <v>28</v>
      </c>
      <c r="M12" s="182">
        <f>9600+7680</f>
        <v>17280</v>
      </c>
      <c r="N12" s="185"/>
    </row>
    <row r="13" spans="1:14">
      <c r="A13" s="268"/>
      <c r="B13" s="259"/>
      <c r="C13" s="335"/>
      <c r="D13" s="22" t="s">
        <v>38</v>
      </c>
      <c r="E13" s="69">
        <v>810</v>
      </c>
      <c r="F13" s="12">
        <v>0</v>
      </c>
      <c r="G13" s="150">
        <f>F13*E13</f>
        <v>0</v>
      </c>
      <c r="H13" s="10">
        <v>1</v>
      </c>
      <c r="I13" s="11">
        <f>H13*E13</f>
        <v>810</v>
      </c>
      <c r="J13" s="77" t="str">
        <f t="shared" si="0"/>
        <v>-</v>
      </c>
      <c r="K13" s="88" t="str">
        <f t="shared" si="0"/>
        <v>-</v>
      </c>
      <c r="L13" s="85">
        <v>0</v>
      </c>
      <c r="M13" s="182">
        <v>0</v>
      </c>
      <c r="N13" s="185"/>
    </row>
    <row r="14" spans="1:14">
      <c r="A14" s="268"/>
      <c r="B14" s="259"/>
      <c r="C14" s="335"/>
      <c r="D14" s="339" t="s">
        <v>16</v>
      </c>
      <c r="E14" s="340"/>
      <c r="F14" s="66">
        <f>SUM(F11:F13)</f>
        <v>2</v>
      </c>
      <c r="G14" s="152">
        <f>SUM(G11:G13)</f>
        <v>1350</v>
      </c>
      <c r="H14" s="166">
        <f>SUM(H11:H13)</f>
        <v>7</v>
      </c>
      <c r="I14" s="167">
        <f>SUM(I11:I13)</f>
        <v>4360</v>
      </c>
      <c r="J14" s="79">
        <f t="shared" si="0"/>
        <v>-0.85416666666666663</v>
      </c>
      <c r="K14" s="91">
        <f t="shared" si="0"/>
        <v>-0.84361549497847921</v>
      </c>
      <c r="L14" s="66">
        <f>SUM(L11:L13)</f>
        <v>48</v>
      </c>
      <c r="M14" s="152">
        <f>SUM(M11:M13)</f>
        <v>27880</v>
      </c>
      <c r="N14" s="185"/>
    </row>
    <row r="15" spans="1:14">
      <c r="A15" s="268"/>
      <c r="B15" s="260"/>
      <c r="C15" s="358" t="s">
        <v>20</v>
      </c>
      <c r="D15" s="358"/>
      <c r="E15" s="359"/>
      <c r="F15" s="67">
        <f>SUM(F10,F14)</f>
        <v>2</v>
      </c>
      <c r="G15" s="153">
        <f>SUM(G10,G14)</f>
        <v>1350</v>
      </c>
      <c r="H15" s="168">
        <f>H14+H10</f>
        <v>7</v>
      </c>
      <c r="I15" s="169">
        <f>I14+I10</f>
        <v>4360</v>
      </c>
      <c r="J15" s="80">
        <f t="shared" si="0"/>
        <v>-0.87719298245614041</v>
      </c>
      <c r="K15" s="92">
        <f t="shared" si="0"/>
        <v>-0.85567692816948027</v>
      </c>
      <c r="L15" s="67">
        <f>SUM(L10,L14)</f>
        <v>57</v>
      </c>
      <c r="M15" s="153">
        <f>SUM(M10,M14)</f>
        <v>30210</v>
      </c>
      <c r="N15" s="191"/>
    </row>
    <row r="16" spans="1:14">
      <c r="A16" s="268"/>
      <c r="B16" s="382" t="s">
        <v>21</v>
      </c>
      <c r="C16" s="338" t="s">
        <v>12</v>
      </c>
      <c r="D16" s="24" t="s">
        <v>13</v>
      </c>
      <c r="E16" s="70">
        <v>190</v>
      </c>
      <c r="F16" s="5">
        <v>0</v>
      </c>
      <c r="G16" s="6">
        <f>F16*E16</f>
        <v>0</v>
      </c>
      <c r="H16" s="7">
        <v>0</v>
      </c>
      <c r="I16" s="8">
        <f>H16*E16</f>
        <v>0</v>
      </c>
      <c r="J16" s="9">
        <f t="shared" si="0"/>
        <v>-1</v>
      </c>
      <c r="K16" s="90">
        <f t="shared" si="0"/>
        <v>-1</v>
      </c>
      <c r="L16" s="86">
        <v>5</v>
      </c>
      <c r="M16" s="183">
        <v>670</v>
      </c>
      <c r="N16" s="185" t="s">
        <v>22</v>
      </c>
    </row>
    <row r="17" spans="1:14">
      <c r="A17" s="268"/>
      <c r="B17" s="259"/>
      <c r="C17" s="335"/>
      <c r="D17" s="22" t="s">
        <v>15</v>
      </c>
      <c r="E17" s="69">
        <v>120</v>
      </c>
      <c r="F17" s="12">
        <v>0</v>
      </c>
      <c r="G17" s="150">
        <f>F17*E17</f>
        <v>0</v>
      </c>
      <c r="H17" s="10">
        <v>0</v>
      </c>
      <c r="I17" s="11">
        <f>H17*E17</f>
        <v>0</v>
      </c>
      <c r="J17" s="77">
        <f t="shared" si="0"/>
        <v>-1</v>
      </c>
      <c r="K17" s="88">
        <f t="shared" si="0"/>
        <v>-1</v>
      </c>
      <c r="L17" s="85">
        <v>3</v>
      </c>
      <c r="M17" s="182">
        <v>430</v>
      </c>
      <c r="N17" s="185"/>
    </row>
    <row r="18" spans="1:14">
      <c r="A18" s="268"/>
      <c r="B18" s="259"/>
      <c r="C18" s="335"/>
      <c r="D18" s="22" t="s">
        <v>37</v>
      </c>
      <c r="E18" s="69">
        <v>300</v>
      </c>
      <c r="F18" s="12">
        <v>0</v>
      </c>
      <c r="G18" s="150">
        <f>F18*E18</f>
        <v>0</v>
      </c>
      <c r="H18" s="10">
        <v>0</v>
      </c>
      <c r="I18" s="11">
        <f>H18*E18</f>
        <v>0</v>
      </c>
      <c r="J18" s="77" t="str">
        <f t="shared" si="0"/>
        <v>-</v>
      </c>
      <c r="K18" s="88" t="str">
        <f t="shared" si="0"/>
        <v>-</v>
      </c>
      <c r="L18" s="85">
        <v>0</v>
      </c>
      <c r="M18" s="182">
        <v>0</v>
      </c>
      <c r="N18" s="185" t="s">
        <v>23</v>
      </c>
    </row>
    <row r="19" spans="1:14">
      <c r="A19" s="268"/>
      <c r="B19" s="259"/>
      <c r="C19" s="336"/>
      <c r="D19" s="337" t="s">
        <v>16</v>
      </c>
      <c r="E19" s="251"/>
      <c r="F19" s="65">
        <f>SUM(F16:F18)</f>
        <v>0</v>
      </c>
      <c r="G19" s="151">
        <f>SUM(G16:G18)</f>
        <v>0</v>
      </c>
      <c r="H19" s="164">
        <f>SUM(H16:H18)</f>
        <v>0</v>
      </c>
      <c r="I19" s="165">
        <f>SUM(I16:I18)</f>
        <v>0</v>
      </c>
      <c r="J19" s="78">
        <f t="shared" si="0"/>
        <v>-1</v>
      </c>
      <c r="K19" s="89">
        <f t="shared" si="0"/>
        <v>-1</v>
      </c>
      <c r="L19" s="65">
        <f>SUM(L16:L18)</f>
        <v>8</v>
      </c>
      <c r="M19" s="151">
        <f>SUM(M16:M18)</f>
        <v>1100</v>
      </c>
      <c r="N19" s="185" t="s">
        <v>24</v>
      </c>
    </row>
    <row r="20" spans="1:14">
      <c r="A20" s="268"/>
      <c r="B20" s="259"/>
      <c r="C20" s="338" t="s">
        <v>17</v>
      </c>
      <c r="D20" s="24" t="s">
        <v>18</v>
      </c>
      <c r="E20" s="70">
        <v>440</v>
      </c>
      <c r="F20" s="5">
        <v>0</v>
      </c>
      <c r="G20" s="6">
        <f>F20*E20</f>
        <v>0</v>
      </c>
      <c r="H20" s="7">
        <v>0</v>
      </c>
      <c r="I20" s="8">
        <f>H20*E20</f>
        <v>0</v>
      </c>
      <c r="J20" s="9">
        <f t="shared" si="0"/>
        <v>-1</v>
      </c>
      <c r="K20" s="90">
        <f t="shared" si="0"/>
        <v>-1</v>
      </c>
      <c r="L20" s="86">
        <f>16+1</f>
        <v>17</v>
      </c>
      <c r="M20" s="183">
        <f>1320+5720+440</f>
        <v>7480</v>
      </c>
      <c r="N20" s="185" t="s">
        <v>25</v>
      </c>
    </row>
    <row r="21" spans="1:14">
      <c r="A21" s="268"/>
      <c r="B21" s="259"/>
      <c r="C21" s="335"/>
      <c r="D21" s="22" t="s">
        <v>19</v>
      </c>
      <c r="E21" s="69">
        <v>520</v>
      </c>
      <c r="F21" s="12">
        <v>1</v>
      </c>
      <c r="G21" s="150">
        <f>F21*E21</f>
        <v>520</v>
      </c>
      <c r="H21" s="10">
        <v>2</v>
      </c>
      <c r="I21" s="11">
        <f>H21*E21</f>
        <v>1040</v>
      </c>
      <c r="J21" s="77">
        <f t="shared" si="0"/>
        <v>-0.84615384615384615</v>
      </c>
      <c r="K21" s="88">
        <f t="shared" si="0"/>
        <v>-0.84615384615384615</v>
      </c>
      <c r="L21" s="85">
        <f>9+4</f>
        <v>13</v>
      </c>
      <c r="M21" s="182">
        <f>1560+3120+2080</f>
        <v>6760</v>
      </c>
      <c r="N21" s="185"/>
    </row>
    <row r="22" spans="1:14">
      <c r="A22" s="268"/>
      <c r="B22" s="259"/>
      <c r="C22" s="335"/>
      <c r="D22" s="22" t="s">
        <v>38</v>
      </c>
      <c r="E22" s="69">
        <v>600</v>
      </c>
      <c r="F22" s="12">
        <v>0</v>
      </c>
      <c r="G22" s="150">
        <f>F22*E22</f>
        <v>0</v>
      </c>
      <c r="H22" s="10">
        <v>0</v>
      </c>
      <c r="I22" s="11">
        <f>H22*E22</f>
        <v>0</v>
      </c>
      <c r="J22" s="77" t="str">
        <f t="shared" si="0"/>
        <v>-</v>
      </c>
      <c r="K22" s="88" t="str">
        <f t="shared" si="0"/>
        <v>-</v>
      </c>
      <c r="L22" s="85">
        <v>0</v>
      </c>
      <c r="M22" s="182">
        <v>0</v>
      </c>
      <c r="N22" s="185"/>
    </row>
    <row r="23" spans="1:14">
      <c r="A23" s="268"/>
      <c r="B23" s="259"/>
      <c r="C23" s="335"/>
      <c r="D23" s="339" t="s">
        <v>16</v>
      </c>
      <c r="E23" s="340"/>
      <c r="F23" s="66">
        <f>SUM(F20:F22)</f>
        <v>1</v>
      </c>
      <c r="G23" s="152">
        <f>SUM(G20:G22)</f>
        <v>520</v>
      </c>
      <c r="H23" s="166">
        <f>SUM(H20:H22)</f>
        <v>2</v>
      </c>
      <c r="I23" s="167">
        <f>SUM(I20:I22)</f>
        <v>1040</v>
      </c>
      <c r="J23" s="79">
        <f t="shared" si="0"/>
        <v>-0.93333333333333335</v>
      </c>
      <c r="K23" s="91">
        <f t="shared" si="0"/>
        <v>-0.9269662921348315</v>
      </c>
      <c r="L23" s="66">
        <f>SUM(L20:L22)</f>
        <v>30</v>
      </c>
      <c r="M23" s="152">
        <f>SUM(M20:M22)</f>
        <v>14240</v>
      </c>
      <c r="N23" s="185"/>
    </row>
    <row r="24" spans="1:14">
      <c r="A24" s="268"/>
      <c r="B24" s="260"/>
      <c r="C24" s="358" t="s">
        <v>20</v>
      </c>
      <c r="D24" s="358"/>
      <c r="E24" s="359"/>
      <c r="F24" s="67">
        <f>SUM(F19,F23)</f>
        <v>1</v>
      </c>
      <c r="G24" s="153">
        <f>SUM(G19,G23)</f>
        <v>520</v>
      </c>
      <c r="H24" s="168">
        <f>H23+H19</f>
        <v>2</v>
      </c>
      <c r="I24" s="169">
        <f>I23+I19</f>
        <v>1040</v>
      </c>
      <c r="J24" s="80">
        <f t="shared" si="0"/>
        <v>-0.94736842105263164</v>
      </c>
      <c r="K24" s="92">
        <f t="shared" si="0"/>
        <v>-0.93220338983050843</v>
      </c>
      <c r="L24" s="67">
        <f>SUM(L19,L23)</f>
        <v>38</v>
      </c>
      <c r="M24" s="153">
        <f>SUM(M19,M23)</f>
        <v>15340</v>
      </c>
      <c r="N24" s="191"/>
    </row>
    <row r="25" spans="1:14">
      <c r="A25" s="268"/>
      <c r="B25" s="382" t="s">
        <v>26</v>
      </c>
      <c r="C25" s="338" t="s">
        <v>12</v>
      </c>
      <c r="D25" s="24" t="s">
        <v>13</v>
      </c>
      <c r="E25" s="70">
        <v>190</v>
      </c>
      <c r="F25" s="5">
        <v>1</v>
      </c>
      <c r="G25" s="6">
        <f>F25*E25</f>
        <v>190</v>
      </c>
      <c r="H25" s="7">
        <v>1</v>
      </c>
      <c r="I25" s="8">
        <f>H25*E25</f>
        <v>190</v>
      </c>
      <c r="J25" s="9">
        <f t="shared" si="0"/>
        <v>-0.94736842105263164</v>
      </c>
      <c r="K25" s="90">
        <f t="shared" si="0"/>
        <v>-0.93470790378006874</v>
      </c>
      <c r="L25" s="86">
        <v>19</v>
      </c>
      <c r="M25" s="183">
        <v>2910</v>
      </c>
      <c r="N25" s="185" t="s">
        <v>22</v>
      </c>
    </row>
    <row r="26" spans="1:14">
      <c r="A26" s="268"/>
      <c r="B26" s="259"/>
      <c r="C26" s="335"/>
      <c r="D26" s="22" t="s">
        <v>15</v>
      </c>
      <c r="E26" s="69">
        <v>120</v>
      </c>
      <c r="F26" s="12">
        <v>1</v>
      </c>
      <c r="G26" s="150">
        <f>F26*E26</f>
        <v>120</v>
      </c>
      <c r="H26" s="10">
        <v>1</v>
      </c>
      <c r="I26" s="11">
        <f>H26*E26</f>
        <v>120</v>
      </c>
      <c r="J26" s="77" t="str">
        <f t="shared" si="0"/>
        <v>-</v>
      </c>
      <c r="K26" s="88" t="str">
        <f t="shared" si="0"/>
        <v>-</v>
      </c>
      <c r="L26" s="85">
        <v>0</v>
      </c>
      <c r="M26" s="182">
        <v>0</v>
      </c>
      <c r="N26" s="185"/>
    </row>
    <row r="27" spans="1:14">
      <c r="A27" s="268"/>
      <c r="B27" s="259"/>
      <c r="C27" s="335"/>
      <c r="D27" s="22" t="s">
        <v>37</v>
      </c>
      <c r="E27" s="69">
        <v>300</v>
      </c>
      <c r="F27" s="12">
        <v>2</v>
      </c>
      <c r="G27" s="150">
        <f>F27*E27</f>
        <v>600</v>
      </c>
      <c r="H27" s="10">
        <v>3</v>
      </c>
      <c r="I27" s="11">
        <f>H27*E27</f>
        <v>900</v>
      </c>
      <c r="J27" s="77">
        <f t="shared" si="0"/>
        <v>-0.5714285714285714</v>
      </c>
      <c r="K27" s="88">
        <f t="shared" si="0"/>
        <v>-0.58525345622119818</v>
      </c>
      <c r="L27" s="85">
        <v>7</v>
      </c>
      <c r="M27" s="182">
        <v>2170</v>
      </c>
      <c r="N27" s="185" t="s">
        <v>27</v>
      </c>
    </row>
    <row r="28" spans="1:14">
      <c r="A28" s="268"/>
      <c r="B28" s="259"/>
      <c r="C28" s="336"/>
      <c r="D28" s="337" t="s">
        <v>16</v>
      </c>
      <c r="E28" s="251"/>
      <c r="F28" s="65">
        <f>SUM(F25:F27)</f>
        <v>4</v>
      </c>
      <c r="G28" s="151">
        <f>SUM(G25:G27)</f>
        <v>910</v>
      </c>
      <c r="H28" s="164">
        <f>SUM(H25:H27)</f>
        <v>5</v>
      </c>
      <c r="I28" s="165">
        <f>SUM(I25:I27)</f>
        <v>1210</v>
      </c>
      <c r="J28" s="78">
        <f t="shared" si="0"/>
        <v>-0.80769230769230771</v>
      </c>
      <c r="K28" s="89">
        <f t="shared" si="0"/>
        <v>-0.76181102362204722</v>
      </c>
      <c r="L28" s="65">
        <f>SUM(L25:L27)</f>
        <v>26</v>
      </c>
      <c r="M28" s="151">
        <f>SUM(M25:M27)</f>
        <v>5080</v>
      </c>
      <c r="N28" s="185"/>
    </row>
    <row r="29" spans="1:14">
      <c r="A29" s="268"/>
      <c r="B29" s="259"/>
      <c r="C29" s="338" t="s">
        <v>17</v>
      </c>
      <c r="D29" s="24" t="s">
        <v>18</v>
      </c>
      <c r="E29" s="70">
        <v>440</v>
      </c>
      <c r="F29" s="5">
        <v>4</v>
      </c>
      <c r="G29" s="6">
        <f>F29*E29</f>
        <v>1760</v>
      </c>
      <c r="H29" s="7">
        <v>9</v>
      </c>
      <c r="I29" s="8">
        <f>H29*E29</f>
        <v>3960</v>
      </c>
      <c r="J29" s="9">
        <f t="shared" si="0"/>
        <v>-0.83333333333333337</v>
      </c>
      <c r="K29" s="90">
        <f t="shared" si="0"/>
        <v>-0.83333333333333337</v>
      </c>
      <c r="L29" s="86">
        <v>54</v>
      </c>
      <c r="M29" s="183">
        <v>23760</v>
      </c>
      <c r="N29" s="185"/>
    </row>
    <row r="30" spans="1:14">
      <c r="A30" s="268"/>
      <c r="B30" s="259"/>
      <c r="C30" s="335"/>
      <c r="D30" s="22" t="s">
        <v>19</v>
      </c>
      <c r="E30" s="69">
        <v>520</v>
      </c>
      <c r="F30" s="12">
        <v>1</v>
      </c>
      <c r="G30" s="150">
        <f>F30*E30</f>
        <v>520</v>
      </c>
      <c r="H30" s="10">
        <v>6</v>
      </c>
      <c r="I30" s="11">
        <f>H30*E30</f>
        <v>3120</v>
      </c>
      <c r="J30" s="77">
        <f t="shared" si="0"/>
        <v>-0.85365853658536583</v>
      </c>
      <c r="K30" s="88">
        <f t="shared" si="0"/>
        <v>-0.85714285714285721</v>
      </c>
      <c r="L30" s="85">
        <v>41</v>
      </c>
      <c r="M30" s="182">
        <v>21840</v>
      </c>
      <c r="N30" s="185"/>
    </row>
    <row r="31" spans="1:14">
      <c r="A31" s="268"/>
      <c r="B31" s="259"/>
      <c r="C31" s="335"/>
      <c r="D31" s="22" t="s">
        <v>38</v>
      </c>
      <c r="E31" s="69">
        <v>600</v>
      </c>
      <c r="F31" s="12">
        <v>0</v>
      </c>
      <c r="G31" s="150">
        <f>F31*E31</f>
        <v>0</v>
      </c>
      <c r="H31" s="10">
        <v>3</v>
      </c>
      <c r="I31" s="11">
        <f>H31*E31</f>
        <v>1800</v>
      </c>
      <c r="J31" s="77" t="str">
        <f t="shared" si="0"/>
        <v>-</v>
      </c>
      <c r="K31" s="88" t="str">
        <f t="shared" si="0"/>
        <v>-</v>
      </c>
      <c r="L31" s="85">
        <v>0</v>
      </c>
      <c r="M31" s="182">
        <v>0</v>
      </c>
      <c r="N31" s="185"/>
    </row>
    <row r="32" spans="1:14">
      <c r="A32" s="268"/>
      <c r="B32" s="259"/>
      <c r="C32" s="335"/>
      <c r="D32" s="339" t="s">
        <v>16</v>
      </c>
      <c r="E32" s="340"/>
      <c r="F32" s="66">
        <f>SUM(F29:F31)</f>
        <v>5</v>
      </c>
      <c r="G32" s="152">
        <f>SUM(G29:G31)</f>
        <v>2280</v>
      </c>
      <c r="H32" s="166">
        <f>SUM(H29:H31)</f>
        <v>18</v>
      </c>
      <c r="I32" s="167">
        <f>SUM(I29:I31)</f>
        <v>8880</v>
      </c>
      <c r="J32" s="79">
        <f t="shared" si="0"/>
        <v>-0.81052631578947365</v>
      </c>
      <c r="K32" s="91">
        <f t="shared" si="0"/>
        <v>-0.8052631578947369</v>
      </c>
      <c r="L32" s="66">
        <f>SUM(L29:L31)</f>
        <v>95</v>
      </c>
      <c r="M32" s="152">
        <f>SUM(M29:M31)</f>
        <v>45600</v>
      </c>
      <c r="N32" s="185"/>
    </row>
    <row r="33" spans="1:14">
      <c r="A33" s="269"/>
      <c r="B33" s="260"/>
      <c r="C33" s="358" t="s">
        <v>20</v>
      </c>
      <c r="D33" s="358"/>
      <c r="E33" s="359"/>
      <c r="F33" s="67">
        <f>SUM(F28,F32)</f>
        <v>9</v>
      </c>
      <c r="G33" s="153">
        <f>SUM(G28,G32)</f>
        <v>3190</v>
      </c>
      <c r="H33" s="168">
        <f>H32+H28</f>
        <v>23</v>
      </c>
      <c r="I33" s="169">
        <f>I32+I28</f>
        <v>10090</v>
      </c>
      <c r="J33" s="80">
        <f t="shared" si="0"/>
        <v>-0.80991735537190079</v>
      </c>
      <c r="K33" s="92">
        <f t="shared" si="0"/>
        <v>-0.80090765588003154</v>
      </c>
      <c r="L33" s="67">
        <f>SUM(L28,L32)</f>
        <v>121</v>
      </c>
      <c r="M33" s="153">
        <f>SUM(M28,M32)</f>
        <v>50680</v>
      </c>
      <c r="N33" s="191"/>
    </row>
    <row r="34" spans="1:14">
      <c r="A34" s="348" t="s">
        <v>28</v>
      </c>
      <c r="B34" s="240"/>
      <c r="C34" s="240"/>
      <c r="D34" s="240"/>
      <c r="E34" s="241"/>
      <c r="F34" s="97">
        <f>F15+F24+F33</f>
        <v>12</v>
      </c>
      <c r="G34" s="158">
        <f>G15+G24+G33</f>
        <v>5060</v>
      </c>
      <c r="H34" s="173">
        <f>H15+H24+H33</f>
        <v>32</v>
      </c>
      <c r="I34" s="174">
        <f>I15+I24+I33</f>
        <v>15490</v>
      </c>
      <c r="J34" s="121">
        <f t="shared" si="0"/>
        <v>-0.85185185185185186</v>
      </c>
      <c r="K34" s="125">
        <f t="shared" si="0"/>
        <v>-0.83903148706224673</v>
      </c>
      <c r="L34" s="97">
        <f>L33+L24+L15</f>
        <v>216</v>
      </c>
      <c r="M34" s="158">
        <f>M33+M24+M15</f>
        <v>96230</v>
      </c>
      <c r="N34" s="185"/>
    </row>
    <row r="35" spans="1:14" ht="16.5" customHeight="1">
      <c r="A35" s="273" t="s">
        <v>46</v>
      </c>
      <c r="B35" s="383" t="s">
        <v>29</v>
      </c>
      <c r="C35" s="355" t="s">
        <v>30</v>
      </c>
      <c r="D35" s="46" t="s">
        <v>19</v>
      </c>
      <c r="E35" s="104">
        <v>990</v>
      </c>
      <c r="F35" s="98">
        <v>3</v>
      </c>
      <c r="G35" s="154">
        <f>F35*E35</f>
        <v>2970</v>
      </c>
      <c r="H35" s="17">
        <v>9</v>
      </c>
      <c r="I35" s="18">
        <f>H35*E35</f>
        <v>8910</v>
      </c>
      <c r="J35" s="19">
        <f t="shared" si="0"/>
        <v>-9.9999999999999978E-2</v>
      </c>
      <c r="K35" s="87">
        <f t="shared" si="0"/>
        <v>-0.38124999999999998</v>
      </c>
      <c r="L35" s="98">
        <v>10</v>
      </c>
      <c r="M35" s="154">
        <v>14400</v>
      </c>
      <c r="N35" s="186"/>
    </row>
    <row r="36" spans="1:14">
      <c r="A36" s="274"/>
      <c r="B36" s="384"/>
      <c r="C36" s="354"/>
      <c r="D36" s="386" t="s">
        <v>16</v>
      </c>
      <c r="E36" s="387"/>
      <c r="F36" s="99">
        <f>F35</f>
        <v>3</v>
      </c>
      <c r="G36" s="155">
        <f>G35</f>
        <v>2970</v>
      </c>
      <c r="H36" s="170">
        <f>H35</f>
        <v>9</v>
      </c>
      <c r="I36" s="171">
        <f>I35</f>
        <v>8910</v>
      </c>
      <c r="J36" s="78">
        <f t="shared" si="0"/>
        <v>-9.9999999999999978E-2</v>
      </c>
      <c r="K36" s="89">
        <f t="shared" si="0"/>
        <v>-0.38124999999999998</v>
      </c>
      <c r="L36" s="99">
        <f>SUM(L35)</f>
        <v>10</v>
      </c>
      <c r="M36" s="155">
        <f>SUM(M35)</f>
        <v>14400</v>
      </c>
      <c r="N36" s="186"/>
    </row>
    <row r="37" spans="1:14" hidden="1">
      <c r="A37" s="274"/>
      <c r="B37" s="385" t="s">
        <v>31</v>
      </c>
      <c r="C37" s="356" t="s">
        <v>32</v>
      </c>
      <c r="D37" s="45" t="s">
        <v>33</v>
      </c>
      <c r="E37" s="106">
        <v>50</v>
      </c>
      <c r="F37" s="100"/>
      <c r="G37" s="156"/>
      <c r="H37" s="21"/>
      <c r="I37" s="28"/>
      <c r="J37" s="9">
        <f t="shared" si="0"/>
        <v>-1</v>
      </c>
      <c r="K37" s="90">
        <f t="shared" si="0"/>
        <v>-1</v>
      </c>
      <c r="L37" s="100">
        <v>6</v>
      </c>
      <c r="M37" s="156">
        <v>300</v>
      </c>
      <c r="N37" s="186"/>
    </row>
    <row r="38" spans="1:14" hidden="1">
      <c r="A38" s="274"/>
      <c r="B38" s="316"/>
      <c r="C38" s="321"/>
      <c r="D38" s="40" t="s">
        <v>34</v>
      </c>
      <c r="E38" s="107">
        <v>100</v>
      </c>
      <c r="F38" s="101"/>
      <c r="G38" s="157"/>
      <c r="H38" s="20"/>
      <c r="I38" s="172"/>
      <c r="J38" s="77">
        <f t="shared" si="0"/>
        <v>-1</v>
      </c>
      <c r="K38" s="88">
        <f t="shared" si="0"/>
        <v>-1</v>
      </c>
      <c r="L38" s="101">
        <v>3</v>
      </c>
      <c r="M38" s="157">
        <v>300</v>
      </c>
      <c r="N38" s="186"/>
    </row>
    <row r="39" spans="1:14" hidden="1">
      <c r="A39" s="274"/>
      <c r="B39" s="316"/>
      <c r="C39" s="321"/>
      <c r="D39" s="40" t="s">
        <v>18</v>
      </c>
      <c r="E39" s="107">
        <v>150</v>
      </c>
      <c r="F39" s="101"/>
      <c r="G39" s="157"/>
      <c r="H39" s="20"/>
      <c r="I39" s="172"/>
      <c r="J39" s="77">
        <f t="shared" si="0"/>
        <v>-1</v>
      </c>
      <c r="K39" s="88">
        <f t="shared" si="0"/>
        <v>-1</v>
      </c>
      <c r="L39" s="101">
        <v>1</v>
      </c>
      <c r="M39" s="157">
        <v>150</v>
      </c>
      <c r="N39" s="186"/>
    </row>
    <row r="40" spans="1:14" hidden="1">
      <c r="A40" s="274"/>
      <c r="B40" s="316"/>
      <c r="C40" s="321"/>
      <c r="D40" s="40" t="s">
        <v>19</v>
      </c>
      <c r="E40" s="107">
        <v>200</v>
      </c>
      <c r="F40" s="101"/>
      <c r="G40" s="157"/>
      <c r="H40" s="20"/>
      <c r="I40" s="172"/>
      <c r="J40" s="77">
        <f t="shared" si="0"/>
        <v>-1</v>
      </c>
      <c r="K40" s="88">
        <f t="shared" si="0"/>
        <v>-1</v>
      </c>
      <c r="L40" s="101">
        <v>1</v>
      </c>
      <c r="M40" s="157">
        <v>200</v>
      </c>
      <c r="N40" s="186"/>
    </row>
    <row r="41" spans="1:14" hidden="1">
      <c r="A41" s="274"/>
      <c r="B41" s="316"/>
      <c r="C41" s="321"/>
      <c r="D41" s="40" t="s">
        <v>38</v>
      </c>
      <c r="E41" s="107">
        <v>250</v>
      </c>
      <c r="F41" s="101"/>
      <c r="G41" s="157"/>
      <c r="H41" s="20"/>
      <c r="I41" s="172"/>
      <c r="J41" s="77" t="str">
        <f t="shared" si="0"/>
        <v>-</v>
      </c>
      <c r="K41" s="88" t="str">
        <f t="shared" si="0"/>
        <v>-</v>
      </c>
      <c r="L41" s="101">
        <v>0</v>
      </c>
      <c r="M41" s="157">
        <v>0</v>
      </c>
      <c r="N41" s="186"/>
    </row>
    <row r="42" spans="1:14" hidden="1">
      <c r="A42" s="275"/>
      <c r="B42" s="352"/>
      <c r="C42" s="357"/>
      <c r="D42" s="60" t="s">
        <v>16</v>
      </c>
      <c r="E42" s="105">
        <v>0</v>
      </c>
      <c r="F42" s="99"/>
      <c r="G42" s="155"/>
      <c r="H42" s="170"/>
      <c r="I42" s="171"/>
      <c r="J42" s="78">
        <f t="shared" si="0"/>
        <v>-1</v>
      </c>
      <c r="K42" s="89">
        <f t="shared" si="0"/>
        <v>-1</v>
      </c>
      <c r="L42" s="99">
        <f>SUM(L37:L41)</f>
        <v>11</v>
      </c>
      <c r="M42" s="155">
        <f>SUM(M37:M41)</f>
        <v>950</v>
      </c>
      <c r="N42" s="192"/>
    </row>
    <row r="43" spans="1:14">
      <c r="A43" s="388" t="s">
        <v>47</v>
      </c>
      <c r="B43" s="388"/>
      <c r="C43" s="388"/>
      <c r="D43" s="388"/>
      <c r="E43" s="389"/>
      <c r="F43" s="97">
        <f>F42+F36</f>
        <v>3</v>
      </c>
      <c r="G43" s="158">
        <f>G42+G36</f>
        <v>2970</v>
      </c>
      <c r="H43" s="173">
        <f>H42+H36</f>
        <v>9</v>
      </c>
      <c r="I43" s="174">
        <f>I42+I36</f>
        <v>8910</v>
      </c>
      <c r="J43" s="121">
        <f t="shared" si="0"/>
        <v>-0.5714285714285714</v>
      </c>
      <c r="K43" s="125">
        <f t="shared" si="0"/>
        <v>-0.41954397394136811</v>
      </c>
      <c r="L43" s="97">
        <f>L42+L36</f>
        <v>21</v>
      </c>
      <c r="M43" s="158">
        <f>M42+M36</f>
        <v>15350</v>
      </c>
      <c r="N43" s="186"/>
    </row>
    <row r="44" spans="1:14" hidden="1">
      <c r="A44" s="378" t="s">
        <v>48</v>
      </c>
      <c r="B44" s="380" t="s">
        <v>11</v>
      </c>
      <c r="C44" s="381" t="s">
        <v>12</v>
      </c>
      <c r="D44" s="23" t="s">
        <v>13</v>
      </c>
      <c r="E44" s="68">
        <v>275</v>
      </c>
      <c r="F44" s="13">
        <v>0</v>
      </c>
      <c r="G44" s="14">
        <f>F44*E44</f>
        <v>0</v>
      </c>
      <c r="H44" s="15">
        <f>F44</f>
        <v>0</v>
      </c>
      <c r="I44" s="16">
        <f>H44*E44</f>
        <v>0</v>
      </c>
      <c r="J44" s="19">
        <f t="shared" ref="J44:K82" si="1">IFERROR(H44/L44-1,"-")</f>
        <v>-1</v>
      </c>
      <c r="K44" s="87">
        <f t="shared" si="1"/>
        <v>-1</v>
      </c>
      <c r="L44" s="84">
        <v>3</v>
      </c>
      <c r="M44" s="181">
        <v>650</v>
      </c>
      <c r="N44" s="187"/>
    </row>
    <row r="45" spans="1:14" hidden="1">
      <c r="A45" s="305"/>
      <c r="B45" s="307"/>
      <c r="C45" s="308"/>
      <c r="D45" s="22" t="s">
        <v>15</v>
      </c>
      <c r="E45" s="69">
        <v>180</v>
      </c>
      <c r="F45" s="12"/>
      <c r="G45" s="150"/>
      <c r="H45" s="10">
        <v>0</v>
      </c>
      <c r="I45" s="11">
        <f>H45*E45</f>
        <v>0</v>
      </c>
      <c r="J45" s="77" t="str">
        <f t="shared" si="1"/>
        <v>-</v>
      </c>
      <c r="K45" s="88" t="str">
        <f t="shared" si="1"/>
        <v>-</v>
      </c>
      <c r="L45" s="85">
        <v>0</v>
      </c>
      <c r="M45" s="182">
        <v>0</v>
      </c>
      <c r="N45" s="187"/>
    </row>
    <row r="46" spans="1:14" hidden="1">
      <c r="A46" s="305"/>
      <c r="B46" s="307"/>
      <c r="C46" s="308"/>
      <c r="D46" s="22" t="s">
        <v>37</v>
      </c>
      <c r="E46" s="69">
        <v>420</v>
      </c>
      <c r="F46" s="12">
        <v>0</v>
      </c>
      <c r="G46" s="150">
        <f>F46*E46</f>
        <v>0</v>
      </c>
      <c r="H46" s="10">
        <v>0</v>
      </c>
      <c r="I46" s="11">
        <f>H46*E46</f>
        <v>0</v>
      </c>
      <c r="J46" s="77" t="str">
        <f t="shared" si="1"/>
        <v>-</v>
      </c>
      <c r="K46" s="88" t="str">
        <f t="shared" si="1"/>
        <v>-</v>
      </c>
      <c r="L46" s="85">
        <v>0</v>
      </c>
      <c r="M46" s="182">
        <v>0</v>
      </c>
      <c r="N46" s="186"/>
    </row>
    <row r="47" spans="1:14" hidden="1">
      <c r="A47" s="305"/>
      <c r="B47" s="307"/>
      <c r="C47" s="347"/>
      <c r="D47" s="337" t="s">
        <v>16</v>
      </c>
      <c r="E47" s="251"/>
      <c r="F47" s="65">
        <f>SUM(F44:F46)</f>
        <v>0</v>
      </c>
      <c r="G47" s="151">
        <f>SUM(G44:G46)</f>
        <v>0</v>
      </c>
      <c r="H47" s="164">
        <f>SUM(H44:H46)</f>
        <v>0</v>
      </c>
      <c r="I47" s="165">
        <f>SUM(I44:I46)</f>
        <v>0</v>
      </c>
      <c r="J47" s="78">
        <f t="shared" si="1"/>
        <v>-1</v>
      </c>
      <c r="K47" s="89">
        <f t="shared" si="1"/>
        <v>-1</v>
      </c>
      <c r="L47" s="65">
        <f>SUM(L44:L46)</f>
        <v>3</v>
      </c>
      <c r="M47" s="151">
        <f>SUM(M44:M46)</f>
        <v>650</v>
      </c>
      <c r="N47" s="186"/>
    </row>
    <row r="48" spans="1:14" hidden="1">
      <c r="A48" s="305"/>
      <c r="B48" s="307"/>
      <c r="C48" s="346" t="s">
        <v>17</v>
      </c>
      <c r="D48" s="24" t="s">
        <v>18</v>
      </c>
      <c r="E48" s="70">
        <v>550</v>
      </c>
      <c r="F48" s="5"/>
      <c r="G48" s="6">
        <f>F48*E48</f>
        <v>0</v>
      </c>
      <c r="H48" s="7"/>
      <c r="I48" s="8">
        <f>H48*E48</f>
        <v>0</v>
      </c>
      <c r="J48" s="9">
        <f t="shared" si="1"/>
        <v>-1</v>
      </c>
      <c r="K48" s="90">
        <f t="shared" si="1"/>
        <v>-1</v>
      </c>
      <c r="L48" s="86">
        <v>1</v>
      </c>
      <c r="M48" s="183">
        <v>720</v>
      </c>
      <c r="N48" s="186"/>
    </row>
    <row r="49" spans="1:14" hidden="1">
      <c r="A49" s="305"/>
      <c r="B49" s="307"/>
      <c r="C49" s="308"/>
      <c r="D49" s="22" t="s">
        <v>19</v>
      </c>
      <c r="E49" s="69">
        <v>675</v>
      </c>
      <c r="F49" s="12"/>
      <c r="G49" s="150"/>
      <c r="H49" s="10">
        <v>0</v>
      </c>
      <c r="I49" s="11">
        <f>H49*E49</f>
        <v>0</v>
      </c>
      <c r="J49" s="77">
        <f t="shared" si="1"/>
        <v>-1</v>
      </c>
      <c r="K49" s="88">
        <f t="shared" si="1"/>
        <v>-1</v>
      </c>
      <c r="L49" s="85">
        <v>1</v>
      </c>
      <c r="M49" s="182">
        <v>880</v>
      </c>
      <c r="N49" s="186"/>
    </row>
    <row r="50" spans="1:14" hidden="1">
      <c r="A50" s="305"/>
      <c r="B50" s="307"/>
      <c r="C50" s="308"/>
      <c r="D50" s="22" t="s">
        <v>38</v>
      </c>
      <c r="E50" s="69">
        <v>810</v>
      </c>
      <c r="F50" s="12">
        <v>0</v>
      </c>
      <c r="G50" s="150">
        <f>F50*E50</f>
        <v>0</v>
      </c>
      <c r="H50" s="10">
        <v>0</v>
      </c>
      <c r="I50" s="11">
        <f>H50*E50</f>
        <v>0</v>
      </c>
      <c r="J50" s="77" t="str">
        <f t="shared" si="1"/>
        <v>-</v>
      </c>
      <c r="K50" s="88" t="str">
        <f t="shared" si="1"/>
        <v>-</v>
      </c>
      <c r="L50" s="85">
        <v>0</v>
      </c>
      <c r="M50" s="182">
        <v>0</v>
      </c>
      <c r="N50" s="186"/>
    </row>
    <row r="51" spans="1:14" hidden="1">
      <c r="A51" s="305"/>
      <c r="B51" s="307"/>
      <c r="C51" s="347"/>
      <c r="D51" s="337" t="s">
        <v>16</v>
      </c>
      <c r="E51" s="251"/>
      <c r="F51" s="65">
        <f>SUM(F48:F50)</f>
        <v>0</v>
      </c>
      <c r="G51" s="151">
        <f>SUM(G48:G50)</f>
        <v>0</v>
      </c>
      <c r="H51" s="164">
        <f>SUM(H48:H50)</f>
        <v>0</v>
      </c>
      <c r="I51" s="165">
        <f>SUM(I48:I50)</f>
        <v>0</v>
      </c>
      <c r="J51" s="78">
        <f t="shared" si="1"/>
        <v>-1</v>
      </c>
      <c r="K51" s="89">
        <f t="shared" si="1"/>
        <v>-1</v>
      </c>
      <c r="L51" s="65">
        <f>SUM(L48:L50)</f>
        <v>2</v>
      </c>
      <c r="M51" s="151">
        <f>SUM(M48:M50)</f>
        <v>1600</v>
      </c>
      <c r="N51" s="186"/>
    </row>
    <row r="52" spans="1:14" hidden="1">
      <c r="A52" s="305"/>
      <c r="B52" s="345"/>
      <c r="C52" s="368" t="s">
        <v>20</v>
      </c>
      <c r="D52" s="369"/>
      <c r="E52" s="370"/>
      <c r="F52" s="102">
        <f>SUM(F47,F51)</f>
        <v>0</v>
      </c>
      <c r="G52" s="159">
        <f>SUM(G47,G51)</f>
        <v>0</v>
      </c>
      <c r="H52" s="175">
        <f>H51+H47</f>
        <v>0</v>
      </c>
      <c r="I52" s="176">
        <f>I51+I47</f>
        <v>0</v>
      </c>
      <c r="J52" s="122">
        <f t="shared" si="1"/>
        <v>-1</v>
      </c>
      <c r="K52" s="126">
        <f t="shared" si="1"/>
        <v>-1</v>
      </c>
      <c r="L52" s="102">
        <f>L51+L47</f>
        <v>5</v>
      </c>
      <c r="M52" s="159">
        <f>M51+M47</f>
        <v>2250</v>
      </c>
      <c r="N52" s="186"/>
    </row>
    <row r="53" spans="1:14" hidden="1">
      <c r="A53" s="305"/>
      <c r="B53" s="344" t="s">
        <v>21</v>
      </c>
      <c r="C53" s="346" t="s">
        <v>12</v>
      </c>
      <c r="D53" s="24" t="s">
        <v>13</v>
      </c>
      <c r="E53" s="70">
        <v>190</v>
      </c>
      <c r="F53" s="5">
        <v>0</v>
      </c>
      <c r="G53" s="6">
        <f>F53*E53</f>
        <v>0</v>
      </c>
      <c r="H53" s="7">
        <v>0</v>
      </c>
      <c r="I53" s="8">
        <f>H53*E53</f>
        <v>0</v>
      </c>
      <c r="J53" s="9" t="str">
        <f t="shared" si="1"/>
        <v>-</v>
      </c>
      <c r="K53" s="90" t="str">
        <f t="shared" si="1"/>
        <v>-</v>
      </c>
      <c r="L53" s="86">
        <v>0</v>
      </c>
      <c r="M53" s="183">
        <v>0</v>
      </c>
      <c r="N53" s="188"/>
    </row>
    <row r="54" spans="1:14" hidden="1">
      <c r="A54" s="305"/>
      <c r="B54" s="307"/>
      <c r="C54" s="308"/>
      <c r="D54" s="22" t="s">
        <v>15</v>
      </c>
      <c r="E54" s="69">
        <v>120</v>
      </c>
      <c r="F54" s="12"/>
      <c r="G54" s="150"/>
      <c r="H54" s="10">
        <v>0</v>
      </c>
      <c r="I54" s="11">
        <f>H54*E54</f>
        <v>0</v>
      </c>
      <c r="J54" s="77" t="str">
        <f t="shared" si="1"/>
        <v>-</v>
      </c>
      <c r="K54" s="88" t="str">
        <f t="shared" si="1"/>
        <v>-</v>
      </c>
      <c r="L54" s="85">
        <v>0</v>
      </c>
      <c r="M54" s="182">
        <v>0</v>
      </c>
      <c r="N54" s="188"/>
    </row>
    <row r="55" spans="1:14" hidden="1">
      <c r="A55" s="305"/>
      <c r="B55" s="307"/>
      <c r="C55" s="308"/>
      <c r="D55" s="22" t="s">
        <v>37</v>
      </c>
      <c r="E55" s="69">
        <v>300</v>
      </c>
      <c r="F55" s="12">
        <v>0</v>
      </c>
      <c r="G55" s="150">
        <f>F55*E55</f>
        <v>0</v>
      </c>
      <c r="H55" s="10">
        <v>0</v>
      </c>
      <c r="I55" s="11">
        <f>H55*E55</f>
        <v>0</v>
      </c>
      <c r="J55" s="77" t="str">
        <f t="shared" si="1"/>
        <v>-</v>
      </c>
      <c r="K55" s="88" t="str">
        <f t="shared" si="1"/>
        <v>-</v>
      </c>
      <c r="L55" s="85">
        <v>0</v>
      </c>
      <c r="M55" s="182">
        <v>0</v>
      </c>
      <c r="N55" s="188"/>
    </row>
    <row r="56" spans="1:14" hidden="1">
      <c r="A56" s="305"/>
      <c r="B56" s="307"/>
      <c r="C56" s="347"/>
      <c r="D56" s="337" t="s">
        <v>16</v>
      </c>
      <c r="E56" s="251"/>
      <c r="F56" s="65">
        <f>SUM(F53:F55)</f>
        <v>0</v>
      </c>
      <c r="G56" s="151">
        <f>SUM(G53:G55)</f>
        <v>0</v>
      </c>
      <c r="H56" s="164">
        <f>SUM(H53:H55)</f>
        <v>0</v>
      </c>
      <c r="I56" s="165">
        <f>SUM(I53:I55)</f>
        <v>0</v>
      </c>
      <c r="J56" s="78" t="str">
        <f t="shared" si="1"/>
        <v>-</v>
      </c>
      <c r="K56" s="89" t="str">
        <f t="shared" si="1"/>
        <v>-</v>
      </c>
      <c r="L56" s="65">
        <f>SUM(L53:L55)</f>
        <v>0</v>
      </c>
      <c r="M56" s="151">
        <f>SUM(M53:M55)</f>
        <v>0</v>
      </c>
      <c r="N56" s="188"/>
    </row>
    <row r="57" spans="1:14" hidden="1">
      <c r="A57" s="305"/>
      <c r="B57" s="307"/>
      <c r="C57" s="346" t="s">
        <v>17</v>
      </c>
      <c r="D57" s="24" t="s">
        <v>18</v>
      </c>
      <c r="E57" s="70">
        <v>440</v>
      </c>
      <c r="F57" s="5">
        <v>0</v>
      </c>
      <c r="G57" s="6">
        <f>F57*E57</f>
        <v>0</v>
      </c>
      <c r="H57" s="7">
        <v>0</v>
      </c>
      <c r="I57" s="8">
        <f>H57*E57</f>
        <v>0</v>
      </c>
      <c r="J57" s="9" t="str">
        <f t="shared" si="1"/>
        <v>-</v>
      </c>
      <c r="K57" s="90" t="str">
        <f t="shared" si="1"/>
        <v>-</v>
      </c>
      <c r="L57" s="86">
        <v>0</v>
      </c>
      <c r="M57" s="183">
        <v>0</v>
      </c>
      <c r="N57" s="188"/>
    </row>
    <row r="58" spans="1:14" hidden="1">
      <c r="A58" s="305"/>
      <c r="B58" s="307"/>
      <c r="C58" s="308"/>
      <c r="D58" s="22" t="s">
        <v>19</v>
      </c>
      <c r="E58" s="69">
        <v>520</v>
      </c>
      <c r="F58" s="12">
        <v>0</v>
      </c>
      <c r="G58" s="150">
        <v>0</v>
      </c>
      <c r="H58" s="10">
        <v>0</v>
      </c>
      <c r="I58" s="11">
        <f>H58*E58</f>
        <v>0</v>
      </c>
      <c r="J58" s="77" t="str">
        <f t="shared" si="1"/>
        <v>-</v>
      </c>
      <c r="K58" s="88" t="str">
        <f t="shared" si="1"/>
        <v>-</v>
      </c>
      <c r="L58" s="85">
        <v>0</v>
      </c>
      <c r="M58" s="182">
        <v>0</v>
      </c>
      <c r="N58" s="188"/>
    </row>
    <row r="59" spans="1:14" hidden="1">
      <c r="A59" s="305"/>
      <c r="B59" s="307"/>
      <c r="C59" s="308"/>
      <c r="D59" s="22" t="s">
        <v>38</v>
      </c>
      <c r="E59" s="69">
        <v>600</v>
      </c>
      <c r="F59" s="12">
        <v>0</v>
      </c>
      <c r="G59" s="150">
        <f>F59*E59</f>
        <v>0</v>
      </c>
      <c r="H59" s="10">
        <v>0</v>
      </c>
      <c r="I59" s="11">
        <f>H59*E59</f>
        <v>0</v>
      </c>
      <c r="J59" s="77" t="str">
        <f t="shared" si="1"/>
        <v>-</v>
      </c>
      <c r="K59" s="88" t="str">
        <f t="shared" si="1"/>
        <v>-</v>
      </c>
      <c r="L59" s="85">
        <v>0</v>
      </c>
      <c r="M59" s="182">
        <v>0</v>
      </c>
      <c r="N59" s="188"/>
    </row>
    <row r="60" spans="1:14" hidden="1">
      <c r="A60" s="305"/>
      <c r="B60" s="307"/>
      <c r="C60" s="347"/>
      <c r="D60" s="337" t="s">
        <v>16</v>
      </c>
      <c r="E60" s="251"/>
      <c r="F60" s="65">
        <f>SUM(F57:F59)</f>
        <v>0</v>
      </c>
      <c r="G60" s="151">
        <f>SUM(G57:G59)</f>
        <v>0</v>
      </c>
      <c r="H60" s="164">
        <f>SUM(H57:H59)</f>
        <v>0</v>
      </c>
      <c r="I60" s="165">
        <f>SUM(I57:I59)</f>
        <v>0</v>
      </c>
      <c r="J60" s="78" t="str">
        <f t="shared" si="1"/>
        <v>-</v>
      </c>
      <c r="K60" s="89" t="str">
        <f t="shared" si="1"/>
        <v>-</v>
      </c>
      <c r="L60" s="65">
        <f>SUM(L57:L59)</f>
        <v>0</v>
      </c>
      <c r="M60" s="151">
        <f>SUM(M57:M59)</f>
        <v>0</v>
      </c>
      <c r="N60" s="188"/>
    </row>
    <row r="61" spans="1:14" hidden="1">
      <c r="A61" s="305"/>
      <c r="B61" s="345"/>
      <c r="C61" s="368" t="s">
        <v>20</v>
      </c>
      <c r="D61" s="369"/>
      <c r="E61" s="370"/>
      <c r="F61" s="102">
        <f>SUM(F56,F60)</f>
        <v>0</v>
      </c>
      <c r="G61" s="159">
        <f>SUM(G56,G60)</f>
        <v>0</v>
      </c>
      <c r="H61" s="175">
        <f>H60+H56</f>
        <v>0</v>
      </c>
      <c r="I61" s="176">
        <f>I60+I56</f>
        <v>0</v>
      </c>
      <c r="J61" s="122" t="str">
        <f t="shared" si="1"/>
        <v>-</v>
      </c>
      <c r="K61" s="126" t="str">
        <f t="shared" si="1"/>
        <v>-</v>
      </c>
      <c r="L61" s="102">
        <f>SUM(L56,L60)</f>
        <v>0</v>
      </c>
      <c r="M61" s="159">
        <f>SUM(M56,M60)</f>
        <v>0</v>
      </c>
      <c r="N61" s="188"/>
    </row>
    <row r="62" spans="1:14" hidden="1">
      <c r="A62" s="305"/>
      <c r="B62" s="344" t="s">
        <v>26</v>
      </c>
      <c r="C62" s="346" t="s">
        <v>12</v>
      </c>
      <c r="D62" s="24" t="s">
        <v>13</v>
      </c>
      <c r="E62" s="70">
        <v>190</v>
      </c>
      <c r="F62" s="5">
        <v>0</v>
      </c>
      <c r="G62" s="6">
        <f>F62*E62</f>
        <v>0</v>
      </c>
      <c r="H62" s="7">
        <v>0</v>
      </c>
      <c r="I62" s="8">
        <f>H62*E62</f>
        <v>0</v>
      </c>
      <c r="J62" s="9">
        <f t="shared" si="1"/>
        <v>-1</v>
      </c>
      <c r="K62" s="90">
        <f t="shared" si="1"/>
        <v>-1</v>
      </c>
      <c r="L62" s="86">
        <v>5</v>
      </c>
      <c r="M62" s="183">
        <v>1020</v>
      </c>
      <c r="N62" s="188"/>
    </row>
    <row r="63" spans="1:14" hidden="1">
      <c r="A63" s="305"/>
      <c r="B63" s="307"/>
      <c r="C63" s="308"/>
      <c r="D63" s="22" t="s">
        <v>15</v>
      </c>
      <c r="E63" s="69">
        <v>120</v>
      </c>
      <c r="F63" s="12">
        <v>0</v>
      </c>
      <c r="G63" s="150">
        <v>0</v>
      </c>
      <c r="H63" s="10">
        <v>0</v>
      </c>
      <c r="I63" s="11">
        <f>H63*E63</f>
        <v>0</v>
      </c>
      <c r="J63" s="77" t="str">
        <f t="shared" si="1"/>
        <v>-</v>
      </c>
      <c r="K63" s="88" t="str">
        <f t="shared" si="1"/>
        <v>-</v>
      </c>
      <c r="L63" s="85">
        <v>0</v>
      </c>
      <c r="M63" s="182">
        <v>0</v>
      </c>
      <c r="N63" s="188"/>
    </row>
    <row r="64" spans="1:14" hidden="1">
      <c r="A64" s="305"/>
      <c r="B64" s="307"/>
      <c r="C64" s="308"/>
      <c r="D64" s="22" t="s">
        <v>37</v>
      </c>
      <c r="E64" s="69">
        <v>300</v>
      </c>
      <c r="F64" s="12">
        <v>0</v>
      </c>
      <c r="G64" s="150">
        <f>F64*E64</f>
        <v>0</v>
      </c>
      <c r="H64" s="10">
        <v>0</v>
      </c>
      <c r="I64" s="11">
        <f>H64*E64</f>
        <v>0</v>
      </c>
      <c r="J64" s="77">
        <f t="shared" si="1"/>
        <v>-1</v>
      </c>
      <c r="K64" s="88">
        <f t="shared" si="1"/>
        <v>-1</v>
      </c>
      <c r="L64" s="85">
        <v>5</v>
      </c>
      <c r="M64" s="182">
        <v>1800</v>
      </c>
      <c r="N64" s="188"/>
    </row>
    <row r="65" spans="1:14" hidden="1">
      <c r="A65" s="305"/>
      <c r="B65" s="307"/>
      <c r="C65" s="347"/>
      <c r="D65" s="337" t="s">
        <v>16</v>
      </c>
      <c r="E65" s="251"/>
      <c r="F65" s="65">
        <f>SUM(F62:F64)</f>
        <v>0</v>
      </c>
      <c r="G65" s="151">
        <f>SUM(G62:G64)</f>
        <v>0</v>
      </c>
      <c r="H65" s="164">
        <f>SUM(H62:H64)</f>
        <v>0</v>
      </c>
      <c r="I65" s="165">
        <f>SUM(I62:I64)</f>
        <v>0</v>
      </c>
      <c r="J65" s="78">
        <f t="shared" si="1"/>
        <v>-1</v>
      </c>
      <c r="K65" s="89">
        <f t="shared" si="1"/>
        <v>-1</v>
      </c>
      <c r="L65" s="65">
        <f>SUM(L62:L64)</f>
        <v>10</v>
      </c>
      <c r="M65" s="151">
        <f>SUM(M62:M64)</f>
        <v>2820</v>
      </c>
      <c r="N65" s="188"/>
    </row>
    <row r="66" spans="1:14" hidden="1">
      <c r="A66" s="305"/>
      <c r="B66" s="307"/>
      <c r="C66" s="346" t="s">
        <v>17</v>
      </c>
      <c r="D66" s="24" t="s">
        <v>18</v>
      </c>
      <c r="E66" s="70">
        <v>440</v>
      </c>
      <c r="F66" s="5">
        <v>0</v>
      </c>
      <c r="G66" s="6">
        <f>F66*E66</f>
        <v>0</v>
      </c>
      <c r="H66" s="7">
        <v>0</v>
      </c>
      <c r="I66" s="8">
        <f>H66*E66</f>
        <v>0</v>
      </c>
      <c r="J66" s="9">
        <f t="shared" si="1"/>
        <v>-1</v>
      </c>
      <c r="K66" s="90">
        <f t="shared" si="1"/>
        <v>-1</v>
      </c>
      <c r="L66" s="86">
        <v>3</v>
      </c>
      <c r="M66" s="183">
        <v>1770</v>
      </c>
      <c r="N66" s="188"/>
    </row>
    <row r="67" spans="1:14" hidden="1">
      <c r="A67" s="305"/>
      <c r="B67" s="307"/>
      <c r="C67" s="308"/>
      <c r="D67" s="22" t="s">
        <v>19</v>
      </c>
      <c r="E67" s="69">
        <v>520</v>
      </c>
      <c r="F67" s="12">
        <v>0</v>
      </c>
      <c r="G67" s="150">
        <v>0</v>
      </c>
      <c r="H67" s="10">
        <v>0</v>
      </c>
      <c r="I67" s="11">
        <f>H67*E67</f>
        <v>0</v>
      </c>
      <c r="J67" s="77">
        <f t="shared" si="1"/>
        <v>-1</v>
      </c>
      <c r="K67" s="88">
        <f t="shared" si="1"/>
        <v>-1</v>
      </c>
      <c r="L67" s="85">
        <v>3</v>
      </c>
      <c r="M67" s="182">
        <v>2160</v>
      </c>
      <c r="N67" s="188"/>
    </row>
    <row r="68" spans="1:14" hidden="1">
      <c r="A68" s="305"/>
      <c r="B68" s="307"/>
      <c r="C68" s="308"/>
      <c r="D68" s="22" t="s">
        <v>38</v>
      </c>
      <c r="E68" s="69">
        <v>600</v>
      </c>
      <c r="F68" s="12">
        <v>0</v>
      </c>
      <c r="G68" s="150">
        <f>F68*E68</f>
        <v>0</v>
      </c>
      <c r="H68" s="10">
        <v>0</v>
      </c>
      <c r="I68" s="11">
        <f>H68*E68</f>
        <v>0</v>
      </c>
      <c r="J68" s="77" t="str">
        <f t="shared" si="1"/>
        <v>-</v>
      </c>
      <c r="K68" s="88" t="str">
        <f t="shared" si="1"/>
        <v>-</v>
      </c>
      <c r="L68" s="85">
        <v>0</v>
      </c>
      <c r="M68" s="182">
        <v>0</v>
      </c>
      <c r="N68" s="188"/>
    </row>
    <row r="69" spans="1:14" hidden="1">
      <c r="A69" s="305"/>
      <c r="B69" s="307"/>
      <c r="C69" s="347"/>
      <c r="D69" s="337" t="s">
        <v>16</v>
      </c>
      <c r="E69" s="251"/>
      <c r="F69" s="65">
        <f>SUM(F66:F68)</f>
        <v>0</v>
      </c>
      <c r="G69" s="151">
        <f>SUM(G66:G68)</f>
        <v>0</v>
      </c>
      <c r="H69" s="164">
        <f>SUM(H66:H68)</f>
        <v>0</v>
      </c>
      <c r="I69" s="165">
        <f>SUM(I66:I68)</f>
        <v>0</v>
      </c>
      <c r="J69" s="78">
        <f t="shared" si="1"/>
        <v>-1</v>
      </c>
      <c r="K69" s="89">
        <f t="shared" si="1"/>
        <v>-1</v>
      </c>
      <c r="L69" s="65">
        <f>SUM(L66:L68)</f>
        <v>6</v>
      </c>
      <c r="M69" s="151">
        <f>SUM(M66:M68)</f>
        <v>3930</v>
      </c>
      <c r="N69" s="188"/>
    </row>
    <row r="70" spans="1:14" hidden="1">
      <c r="A70" s="379"/>
      <c r="B70" s="345"/>
      <c r="C70" s="368" t="s">
        <v>20</v>
      </c>
      <c r="D70" s="369"/>
      <c r="E70" s="370"/>
      <c r="F70" s="102">
        <f>SUM(F65,F69)</f>
        <v>0</v>
      </c>
      <c r="G70" s="159">
        <f>SUM(G65,G69)</f>
        <v>0</v>
      </c>
      <c r="H70" s="175">
        <f>H69+H65</f>
        <v>0</v>
      </c>
      <c r="I70" s="176">
        <f>I69+I65</f>
        <v>0</v>
      </c>
      <c r="J70" s="122">
        <f t="shared" si="1"/>
        <v>-1</v>
      </c>
      <c r="K70" s="126">
        <f t="shared" si="1"/>
        <v>-1</v>
      </c>
      <c r="L70" s="102">
        <f>L69+L65</f>
        <v>16</v>
      </c>
      <c r="M70" s="159">
        <f>M69+M65</f>
        <v>6750</v>
      </c>
      <c r="N70" s="188"/>
    </row>
    <row r="71" spans="1:14" hidden="1">
      <c r="A71" s="239" t="s">
        <v>49</v>
      </c>
      <c r="B71" s="240"/>
      <c r="C71" s="240"/>
      <c r="D71" s="240"/>
      <c r="E71" s="241"/>
      <c r="F71" s="97">
        <f>F70+F61+F52</f>
        <v>0</v>
      </c>
      <c r="G71" s="158">
        <f>G70+G61+G52</f>
        <v>0</v>
      </c>
      <c r="H71" s="173">
        <f>H70+H61+H52</f>
        <v>0</v>
      </c>
      <c r="I71" s="174">
        <f>I70+I61+I52</f>
        <v>0</v>
      </c>
      <c r="J71" s="121">
        <f t="shared" si="1"/>
        <v>-1</v>
      </c>
      <c r="K71" s="125">
        <f t="shared" si="1"/>
        <v>-1</v>
      </c>
      <c r="L71" s="97">
        <f>L70+L61+L52</f>
        <v>21</v>
      </c>
      <c r="M71" s="158">
        <f>M70+M61+M52</f>
        <v>9000</v>
      </c>
      <c r="N71" s="188"/>
    </row>
    <row r="72" spans="1:14" ht="16.5" hidden="1" customHeight="1">
      <c r="A72" s="360" t="s">
        <v>51</v>
      </c>
      <c r="B72" s="362" t="s">
        <v>50</v>
      </c>
      <c r="C72" s="364" t="s">
        <v>12</v>
      </c>
      <c r="D72" s="61" t="s">
        <v>52</v>
      </c>
      <c r="E72" s="109"/>
      <c r="F72" s="98"/>
      <c r="G72" s="154"/>
      <c r="H72" s="17"/>
      <c r="I72" s="18"/>
      <c r="J72" s="19">
        <f t="shared" si="1"/>
        <v>-1</v>
      </c>
      <c r="K72" s="87">
        <f t="shared" si="1"/>
        <v>-1</v>
      </c>
      <c r="L72" s="98">
        <v>15</v>
      </c>
      <c r="M72" s="154">
        <f>1690+910</f>
        <v>2600</v>
      </c>
      <c r="N72" s="189"/>
    </row>
    <row r="73" spans="1:14" hidden="1">
      <c r="A73" s="319"/>
      <c r="B73" s="324"/>
      <c r="C73" s="317"/>
      <c r="D73" s="51" t="s">
        <v>53</v>
      </c>
      <c r="E73" s="110"/>
      <c r="F73" s="101"/>
      <c r="G73" s="157"/>
      <c r="H73" s="20"/>
      <c r="I73" s="172"/>
      <c r="J73" s="77" t="str">
        <f t="shared" si="1"/>
        <v>-</v>
      </c>
      <c r="K73" s="88" t="str">
        <f t="shared" si="1"/>
        <v>-</v>
      </c>
      <c r="L73" s="101">
        <v>0</v>
      </c>
      <c r="M73" s="157">
        <v>0</v>
      </c>
      <c r="N73" s="189"/>
    </row>
    <row r="74" spans="1:14" hidden="1">
      <c r="A74" s="319"/>
      <c r="B74" s="324"/>
      <c r="C74" s="317"/>
      <c r="D74" s="51" t="s">
        <v>37</v>
      </c>
      <c r="E74" s="110"/>
      <c r="F74" s="101"/>
      <c r="G74" s="157"/>
      <c r="H74" s="20"/>
      <c r="I74" s="172"/>
      <c r="J74" s="77">
        <f t="shared" si="1"/>
        <v>-1</v>
      </c>
      <c r="K74" s="88">
        <f t="shared" si="1"/>
        <v>-1</v>
      </c>
      <c r="L74" s="101">
        <v>1</v>
      </c>
      <c r="M74" s="157">
        <v>310</v>
      </c>
      <c r="N74" s="189"/>
    </row>
    <row r="75" spans="1:14" hidden="1">
      <c r="A75" s="319"/>
      <c r="B75" s="324"/>
      <c r="C75" s="365"/>
      <c r="D75" s="366" t="s">
        <v>16</v>
      </c>
      <c r="E75" s="249"/>
      <c r="F75" s="99">
        <f>SUM(F72:F74)</f>
        <v>0</v>
      </c>
      <c r="G75" s="155">
        <f>SUM(G72:G74)</f>
        <v>0</v>
      </c>
      <c r="H75" s="170">
        <f>SUM(H72:H74)</f>
        <v>0</v>
      </c>
      <c r="I75" s="171">
        <f>SUM(I72:I74)</f>
        <v>0</v>
      </c>
      <c r="J75" s="78">
        <f t="shared" si="1"/>
        <v>-1</v>
      </c>
      <c r="K75" s="89">
        <f t="shared" si="1"/>
        <v>-1</v>
      </c>
      <c r="L75" s="99">
        <f>SUM(L72:L74)</f>
        <v>16</v>
      </c>
      <c r="M75" s="155">
        <f>SUM(M72:M74)</f>
        <v>2910</v>
      </c>
      <c r="N75" s="189"/>
    </row>
    <row r="76" spans="1:14" hidden="1">
      <c r="A76" s="319"/>
      <c r="B76" s="324"/>
      <c r="C76" s="367" t="s">
        <v>17</v>
      </c>
      <c r="D76" s="59" t="s">
        <v>18</v>
      </c>
      <c r="E76" s="111"/>
      <c r="F76" s="100"/>
      <c r="G76" s="156"/>
      <c r="H76" s="21"/>
      <c r="I76" s="28"/>
      <c r="J76" s="9">
        <f t="shared" si="1"/>
        <v>-1</v>
      </c>
      <c r="K76" s="90">
        <f t="shared" si="1"/>
        <v>-1</v>
      </c>
      <c r="L76" s="100">
        <f>33+4+1+9</f>
        <v>47</v>
      </c>
      <c r="M76" s="156">
        <f>14520+1760+490+4410</f>
        <v>21180</v>
      </c>
      <c r="N76" s="189"/>
    </row>
    <row r="77" spans="1:14" hidden="1">
      <c r="A77" s="319"/>
      <c r="B77" s="324"/>
      <c r="C77" s="317"/>
      <c r="D77" s="51" t="s">
        <v>19</v>
      </c>
      <c r="E77" s="110"/>
      <c r="F77" s="101"/>
      <c r="G77" s="157"/>
      <c r="H77" s="20"/>
      <c r="I77" s="172"/>
      <c r="J77" s="77">
        <f t="shared" si="1"/>
        <v>-1</v>
      </c>
      <c r="K77" s="88">
        <f t="shared" si="1"/>
        <v>-1</v>
      </c>
      <c r="L77" s="101">
        <f>34+6</f>
        <v>40</v>
      </c>
      <c r="M77" s="157">
        <f>17680+3420</f>
        <v>21100</v>
      </c>
      <c r="N77" s="189"/>
    </row>
    <row r="78" spans="1:14" hidden="1">
      <c r="A78" s="319"/>
      <c r="B78" s="324"/>
      <c r="C78" s="317"/>
      <c r="D78" s="51" t="s">
        <v>38</v>
      </c>
      <c r="E78" s="110"/>
      <c r="F78" s="101"/>
      <c r="G78" s="157"/>
      <c r="H78" s="20"/>
      <c r="I78" s="172"/>
      <c r="J78" s="77" t="str">
        <f t="shared" si="1"/>
        <v>-</v>
      </c>
      <c r="K78" s="88" t="str">
        <f t="shared" si="1"/>
        <v>-</v>
      </c>
      <c r="L78" s="101">
        <v>0</v>
      </c>
      <c r="M78" s="157">
        <v>0</v>
      </c>
      <c r="N78" s="189"/>
    </row>
    <row r="79" spans="1:14" hidden="1">
      <c r="A79" s="319"/>
      <c r="B79" s="324"/>
      <c r="C79" s="365"/>
      <c r="D79" s="366" t="s">
        <v>16</v>
      </c>
      <c r="E79" s="249"/>
      <c r="F79" s="99">
        <f>SUM(F76:F78)</f>
        <v>0</v>
      </c>
      <c r="G79" s="155">
        <f>SUM(G76:G78)</f>
        <v>0</v>
      </c>
      <c r="H79" s="170">
        <f>SUM(H76:H78)</f>
        <v>0</v>
      </c>
      <c r="I79" s="171">
        <f>SUM(I76:I78)</f>
        <v>0</v>
      </c>
      <c r="J79" s="78">
        <f t="shared" si="1"/>
        <v>-1</v>
      </c>
      <c r="K79" s="89">
        <f t="shared" si="1"/>
        <v>-1</v>
      </c>
      <c r="L79" s="99">
        <f>SUM(L76:L78)</f>
        <v>87</v>
      </c>
      <c r="M79" s="155">
        <f>SUM(M76:M78)</f>
        <v>42280</v>
      </c>
      <c r="N79" s="189"/>
    </row>
    <row r="80" spans="1:14" hidden="1">
      <c r="A80" s="319"/>
      <c r="B80" s="324"/>
      <c r="C80" s="367" t="s">
        <v>54</v>
      </c>
      <c r="D80" s="59" t="s">
        <v>19</v>
      </c>
      <c r="E80" s="111"/>
      <c r="F80" s="100"/>
      <c r="G80" s="156"/>
      <c r="H80" s="21"/>
      <c r="I80" s="28"/>
      <c r="J80" s="9" t="str">
        <f t="shared" si="1"/>
        <v>-</v>
      </c>
      <c r="K80" s="90" t="str">
        <f t="shared" si="1"/>
        <v>-</v>
      </c>
      <c r="L80" s="100">
        <v>0</v>
      </c>
      <c r="M80" s="156">
        <v>0</v>
      </c>
      <c r="N80" s="189"/>
    </row>
    <row r="81" spans="1:14" hidden="1">
      <c r="A81" s="361"/>
      <c r="B81" s="363"/>
      <c r="C81" s="365"/>
      <c r="D81" s="366" t="s">
        <v>16</v>
      </c>
      <c r="E81" s="249"/>
      <c r="F81" s="99">
        <f>SUM(F80)</f>
        <v>0</v>
      </c>
      <c r="G81" s="155">
        <f>SUM(G80)</f>
        <v>0</v>
      </c>
      <c r="H81" s="170">
        <f>SUM(H80)</f>
        <v>0</v>
      </c>
      <c r="I81" s="171">
        <f>SUM(I80)</f>
        <v>0</v>
      </c>
      <c r="J81" s="78" t="str">
        <f t="shared" si="1"/>
        <v>-</v>
      </c>
      <c r="K81" s="89" t="str">
        <f t="shared" si="1"/>
        <v>-</v>
      </c>
      <c r="L81" s="99">
        <f>SUM(L80)</f>
        <v>0</v>
      </c>
      <c r="M81" s="155">
        <f>SUM(M80)</f>
        <v>0</v>
      </c>
      <c r="N81" s="189"/>
    </row>
    <row r="82" spans="1:14" hidden="1">
      <c r="A82" s="371" t="s">
        <v>58</v>
      </c>
      <c r="B82" s="372"/>
      <c r="C82" s="372"/>
      <c r="D82" s="372"/>
      <c r="E82" s="373"/>
      <c r="F82" s="103">
        <f>F81+F79+F75</f>
        <v>0</v>
      </c>
      <c r="G82" s="160">
        <f>G81+G79+G75</f>
        <v>0</v>
      </c>
      <c r="H82" s="177">
        <f>H81+H79+H75</f>
        <v>0</v>
      </c>
      <c r="I82" s="178">
        <f>I81+I79+I75</f>
        <v>0</v>
      </c>
      <c r="J82" s="121">
        <f t="shared" si="1"/>
        <v>-1</v>
      </c>
      <c r="K82" s="125">
        <f t="shared" si="1"/>
        <v>-1</v>
      </c>
      <c r="L82" s="103">
        <f>L81+L79+L75</f>
        <v>103</v>
      </c>
      <c r="M82" s="160">
        <f>M81+M79+M75</f>
        <v>45190</v>
      </c>
      <c r="N82" s="188"/>
    </row>
    <row r="83" spans="1:14" ht="17.25" thickBot="1">
      <c r="A83" s="374" t="s">
        <v>55</v>
      </c>
      <c r="B83" s="374"/>
      <c r="C83" s="374"/>
      <c r="D83" s="374"/>
      <c r="E83" s="375"/>
      <c r="F83" s="142">
        <f>F82+F71+F43+F34</f>
        <v>15</v>
      </c>
      <c r="G83" s="146">
        <f>G82+G71+G43+G34</f>
        <v>8030</v>
      </c>
      <c r="H83" s="179">
        <f>H82+H71+H43+H34</f>
        <v>41</v>
      </c>
      <c r="I83" s="180">
        <f>I82+I71+I43+I34</f>
        <v>24400</v>
      </c>
      <c r="J83" s="161">
        <f>IFERROR(H83/L83-1,"-")</f>
        <v>-0.88642659279778391</v>
      </c>
      <c r="K83" s="148">
        <f>IFERROR(I83/M83-1,"-")</f>
        <v>-0.85280810761899017</v>
      </c>
      <c r="L83" s="142">
        <f>L82+L71+L43+L34</f>
        <v>361</v>
      </c>
      <c r="M83" s="146">
        <f>M82+M71+M43+M34</f>
        <v>165770</v>
      </c>
      <c r="N83" s="190"/>
    </row>
    <row r="84" spans="1:14">
      <c r="A84" s="25" t="s">
        <v>42</v>
      </c>
    </row>
    <row r="85" spans="1:14">
      <c r="A85" s="25" t="s">
        <v>40</v>
      </c>
    </row>
    <row r="86" spans="1:14">
      <c r="A86" s="25" t="s">
        <v>41</v>
      </c>
    </row>
  </sheetData>
  <mergeCells count="64">
    <mergeCell ref="A82:E82"/>
    <mergeCell ref="A83:E83"/>
    <mergeCell ref="D36:E36"/>
    <mergeCell ref="A43:E43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D56:E56"/>
    <mergeCell ref="C57:C60"/>
    <mergeCell ref="D60:E60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C61:E61"/>
    <mergeCell ref="B62:B70"/>
    <mergeCell ref="C62:C65"/>
    <mergeCell ref="D65:E65"/>
    <mergeCell ref="C66:C69"/>
    <mergeCell ref="D69:E69"/>
    <mergeCell ref="C70:E70"/>
    <mergeCell ref="A34:E34"/>
    <mergeCell ref="A35:A42"/>
    <mergeCell ref="B35:B36"/>
    <mergeCell ref="C35:C36"/>
    <mergeCell ref="B37:B42"/>
    <mergeCell ref="C37:C42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A5:D6"/>
    <mergeCell ref="E5:E6"/>
    <mergeCell ref="F5:G5"/>
    <mergeCell ref="H5:I5"/>
    <mergeCell ref="J5:K5"/>
    <mergeCell ref="L5:M5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761F-3C61-4697-83B1-17D22206F23C}">
  <dimension ref="A1:N86"/>
  <sheetViews>
    <sheetView showGridLines="0" topLeftCell="A12" zoomScale="85" zoomScaleNormal="85" workbookViewId="0">
      <selection activeCell="S28" sqref="S28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spans="1:14" ht="20.25">
      <c r="A1" s="26" t="s">
        <v>63</v>
      </c>
    </row>
    <row r="2" spans="1:14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7.25" thickBot="1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7" t="s">
        <v>1</v>
      </c>
    </row>
    <row r="5" spans="1:14" ht="23.25" customHeight="1">
      <c r="A5" s="289" t="s">
        <v>2</v>
      </c>
      <c r="B5" s="290"/>
      <c r="C5" s="290"/>
      <c r="D5" s="291"/>
      <c r="E5" s="295" t="s">
        <v>3</v>
      </c>
      <c r="F5" s="342" t="s">
        <v>64</v>
      </c>
      <c r="G5" s="298"/>
      <c r="H5" s="299" t="s">
        <v>39</v>
      </c>
      <c r="I5" s="300"/>
      <c r="J5" s="301" t="s">
        <v>4</v>
      </c>
      <c r="K5" s="285"/>
      <c r="L5" s="301" t="s">
        <v>44</v>
      </c>
      <c r="M5" s="285"/>
      <c r="N5" s="286" t="s">
        <v>5</v>
      </c>
    </row>
    <row r="6" spans="1:14">
      <c r="A6" s="292"/>
      <c r="B6" s="293"/>
      <c r="C6" s="293"/>
      <c r="D6" s="294"/>
      <c r="E6" s="296"/>
      <c r="F6" s="62" t="s">
        <v>6</v>
      </c>
      <c r="G6" s="149" t="s">
        <v>7</v>
      </c>
      <c r="H6" s="162" t="s">
        <v>8</v>
      </c>
      <c r="I6" s="163" t="s">
        <v>9</v>
      </c>
      <c r="J6" s="63" t="s">
        <v>8</v>
      </c>
      <c r="K6" s="64" t="s">
        <v>9</v>
      </c>
      <c r="L6" s="63" t="s">
        <v>8</v>
      </c>
      <c r="M6" s="64" t="s">
        <v>9</v>
      </c>
      <c r="N6" s="287"/>
    </row>
    <row r="7" spans="1:14">
      <c r="A7" s="288" t="s">
        <v>10</v>
      </c>
      <c r="B7" s="258" t="s">
        <v>11</v>
      </c>
      <c r="C7" s="334" t="s">
        <v>12</v>
      </c>
      <c r="D7" s="23" t="s">
        <v>13</v>
      </c>
      <c r="E7" s="68">
        <v>275</v>
      </c>
      <c r="F7" s="13">
        <v>0</v>
      </c>
      <c r="G7" s="14">
        <f>F7*E7</f>
        <v>0</v>
      </c>
      <c r="H7" s="15">
        <f>F7</f>
        <v>0</v>
      </c>
      <c r="I7" s="16">
        <f>H7*E7</f>
        <v>0</v>
      </c>
      <c r="J7" s="19">
        <f t="shared" ref="J7:K43" si="0">IFERROR(H7/L7-1,"-")</f>
        <v>-1</v>
      </c>
      <c r="K7" s="87">
        <f t="shared" si="0"/>
        <v>-1</v>
      </c>
      <c r="L7" s="84">
        <f>3+5</f>
        <v>8</v>
      </c>
      <c r="M7" s="181">
        <f>690+1210</f>
        <v>1900</v>
      </c>
      <c r="N7" s="184" t="s">
        <v>14</v>
      </c>
    </row>
    <row r="8" spans="1:14">
      <c r="A8" s="268"/>
      <c r="B8" s="259"/>
      <c r="C8" s="335"/>
      <c r="D8" s="22" t="s">
        <v>15</v>
      </c>
      <c r="E8" s="69">
        <v>180</v>
      </c>
      <c r="F8" s="12">
        <v>0</v>
      </c>
      <c r="G8" s="150">
        <v>0</v>
      </c>
      <c r="H8" s="10">
        <v>0</v>
      </c>
      <c r="I8" s="11">
        <f>H8*E8</f>
        <v>0</v>
      </c>
      <c r="J8" s="77" t="str">
        <f t="shared" si="0"/>
        <v>-</v>
      </c>
      <c r="K8" s="88" t="str">
        <f t="shared" si="0"/>
        <v>-</v>
      </c>
      <c r="L8" s="85">
        <v>0</v>
      </c>
      <c r="M8" s="182">
        <v>0</v>
      </c>
      <c r="N8" s="185"/>
    </row>
    <row r="9" spans="1:14">
      <c r="A9" s="268"/>
      <c r="B9" s="259"/>
      <c r="C9" s="335"/>
      <c r="D9" s="22" t="s">
        <v>37</v>
      </c>
      <c r="E9" s="69">
        <v>420</v>
      </c>
      <c r="F9" s="12">
        <v>0</v>
      </c>
      <c r="G9" s="150">
        <f>F9*E9</f>
        <v>0</v>
      </c>
      <c r="H9" s="10">
        <v>0</v>
      </c>
      <c r="I9" s="11">
        <f>H9*E9</f>
        <v>0</v>
      </c>
      <c r="J9" s="77">
        <f t="shared" si="0"/>
        <v>-1</v>
      </c>
      <c r="K9" s="88">
        <f t="shared" si="0"/>
        <v>-1</v>
      </c>
      <c r="L9" s="85">
        <v>1</v>
      </c>
      <c r="M9" s="182">
        <v>430</v>
      </c>
      <c r="N9" s="185"/>
    </row>
    <row r="10" spans="1:14">
      <c r="A10" s="268"/>
      <c r="B10" s="259"/>
      <c r="C10" s="336"/>
      <c r="D10" s="337" t="s">
        <v>16</v>
      </c>
      <c r="E10" s="251"/>
      <c r="F10" s="65">
        <f>SUM(F7:F9)</f>
        <v>0</v>
      </c>
      <c r="G10" s="151">
        <f>SUM(G7:G9)</f>
        <v>0</v>
      </c>
      <c r="H10" s="164">
        <f>SUM(H7:H9)</f>
        <v>0</v>
      </c>
      <c r="I10" s="165">
        <f>SUM(I7:I9)</f>
        <v>0</v>
      </c>
      <c r="J10" s="78">
        <f t="shared" si="0"/>
        <v>-1</v>
      </c>
      <c r="K10" s="89">
        <f t="shared" si="0"/>
        <v>-1</v>
      </c>
      <c r="L10" s="65">
        <f>SUM(L7:L9)</f>
        <v>9</v>
      </c>
      <c r="M10" s="151">
        <f>SUM(M7:M9)</f>
        <v>2330</v>
      </c>
      <c r="N10" s="185"/>
    </row>
    <row r="11" spans="1:14">
      <c r="A11" s="268"/>
      <c r="B11" s="259"/>
      <c r="C11" s="338" t="s">
        <v>17</v>
      </c>
      <c r="D11" s="24" t="s">
        <v>18</v>
      </c>
      <c r="E11" s="70">
        <v>550</v>
      </c>
      <c r="F11" s="5">
        <v>0</v>
      </c>
      <c r="G11" s="6">
        <f>F11*E11</f>
        <v>0</v>
      </c>
      <c r="H11" s="7">
        <v>4</v>
      </c>
      <c r="I11" s="8">
        <f>H11*E11</f>
        <v>2200</v>
      </c>
      <c r="J11" s="9">
        <f t="shared" si="0"/>
        <v>-0.8</v>
      </c>
      <c r="K11" s="90">
        <f t="shared" si="0"/>
        <v>-0.79245283018867929</v>
      </c>
      <c r="L11" s="86">
        <v>20</v>
      </c>
      <c r="M11" s="183">
        <f>1060+9540</f>
        <v>10600</v>
      </c>
      <c r="N11" s="185"/>
    </row>
    <row r="12" spans="1:14">
      <c r="A12" s="268"/>
      <c r="B12" s="259"/>
      <c r="C12" s="335"/>
      <c r="D12" s="22" t="s">
        <v>19</v>
      </c>
      <c r="E12" s="69">
        <v>675</v>
      </c>
      <c r="F12" s="12">
        <v>0</v>
      </c>
      <c r="G12" s="150">
        <f>F12*E12</f>
        <v>0</v>
      </c>
      <c r="H12" s="10">
        <v>2</v>
      </c>
      <c r="I12" s="11">
        <f>H12*E12</f>
        <v>1350</v>
      </c>
      <c r="J12" s="77">
        <f t="shared" si="0"/>
        <v>-0.9285714285714286</v>
      </c>
      <c r="K12" s="88">
        <f t="shared" si="0"/>
        <v>-0.921875</v>
      </c>
      <c r="L12" s="85">
        <v>28</v>
      </c>
      <c r="M12" s="182">
        <f>9600+7680</f>
        <v>17280</v>
      </c>
      <c r="N12" s="185"/>
    </row>
    <row r="13" spans="1:14">
      <c r="A13" s="268"/>
      <c r="B13" s="259"/>
      <c r="C13" s="335"/>
      <c r="D13" s="22" t="s">
        <v>38</v>
      </c>
      <c r="E13" s="69">
        <v>810</v>
      </c>
      <c r="F13" s="12">
        <v>1</v>
      </c>
      <c r="G13" s="150">
        <f>F13*E13</f>
        <v>810</v>
      </c>
      <c r="H13" s="10">
        <v>2</v>
      </c>
      <c r="I13" s="11">
        <f>H13*E13</f>
        <v>1620</v>
      </c>
      <c r="J13" s="77" t="str">
        <f t="shared" si="0"/>
        <v>-</v>
      </c>
      <c r="K13" s="88" t="str">
        <f t="shared" si="0"/>
        <v>-</v>
      </c>
      <c r="L13" s="85">
        <v>0</v>
      </c>
      <c r="M13" s="182">
        <v>0</v>
      </c>
      <c r="N13" s="185"/>
    </row>
    <row r="14" spans="1:14">
      <c r="A14" s="268"/>
      <c r="B14" s="259"/>
      <c r="C14" s="335"/>
      <c r="D14" s="339" t="s">
        <v>16</v>
      </c>
      <c r="E14" s="340"/>
      <c r="F14" s="66">
        <f>SUM(F11:F13)</f>
        <v>1</v>
      </c>
      <c r="G14" s="152">
        <f>SUM(G11:G13)</f>
        <v>810</v>
      </c>
      <c r="H14" s="166">
        <f>SUM(H11:H13)</f>
        <v>8</v>
      </c>
      <c r="I14" s="167">
        <f>SUM(I11:I13)</f>
        <v>5170</v>
      </c>
      <c r="J14" s="79">
        <f t="shared" si="0"/>
        <v>-0.83333333333333337</v>
      </c>
      <c r="K14" s="91">
        <f t="shared" si="0"/>
        <v>-0.81456241032998566</v>
      </c>
      <c r="L14" s="66">
        <f>SUM(L11:L13)</f>
        <v>48</v>
      </c>
      <c r="M14" s="152">
        <f>SUM(M11:M13)</f>
        <v>27880</v>
      </c>
      <c r="N14" s="185"/>
    </row>
    <row r="15" spans="1:14">
      <c r="A15" s="268"/>
      <c r="B15" s="260"/>
      <c r="C15" s="358" t="s">
        <v>20</v>
      </c>
      <c r="D15" s="358"/>
      <c r="E15" s="359"/>
      <c r="F15" s="67">
        <f>SUM(F10,F14)</f>
        <v>1</v>
      </c>
      <c r="G15" s="153">
        <f>SUM(G10,G14)</f>
        <v>810</v>
      </c>
      <c r="H15" s="168">
        <f>H14+H10</f>
        <v>8</v>
      </c>
      <c r="I15" s="169">
        <f>I14+I10</f>
        <v>5170</v>
      </c>
      <c r="J15" s="80">
        <f t="shared" si="0"/>
        <v>-0.85964912280701755</v>
      </c>
      <c r="K15" s="92">
        <f t="shared" si="0"/>
        <v>-0.82886461436610392</v>
      </c>
      <c r="L15" s="67">
        <f>SUM(L10,L14)</f>
        <v>57</v>
      </c>
      <c r="M15" s="153">
        <f>SUM(M10,M14)</f>
        <v>30210</v>
      </c>
      <c r="N15" s="191"/>
    </row>
    <row r="16" spans="1:14">
      <c r="A16" s="268"/>
      <c r="B16" s="382" t="s">
        <v>21</v>
      </c>
      <c r="C16" s="338" t="s">
        <v>12</v>
      </c>
      <c r="D16" s="24" t="s">
        <v>13</v>
      </c>
      <c r="E16" s="70">
        <v>190</v>
      </c>
      <c r="F16" s="5">
        <v>0</v>
      </c>
      <c r="G16" s="6">
        <f>F16*E16</f>
        <v>0</v>
      </c>
      <c r="H16" s="7">
        <v>0</v>
      </c>
      <c r="I16" s="8">
        <f>H16*E16</f>
        <v>0</v>
      </c>
      <c r="J16" s="9">
        <f t="shared" si="0"/>
        <v>-1</v>
      </c>
      <c r="K16" s="90">
        <f t="shared" si="0"/>
        <v>-1</v>
      </c>
      <c r="L16" s="86">
        <v>5</v>
      </c>
      <c r="M16" s="183">
        <v>670</v>
      </c>
      <c r="N16" s="185" t="s">
        <v>22</v>
      </c>
    </row>
    <row r="17" spans="1:14">
      <c r="A17" s="268"/>
      <c r="B17" s="259"/>
      <c r="C17" s="335"/>
      <c r="D17" s="22" t="s">
        <v>15</v>
      </c>
      <c r="E17" s="69">
        <v>120</v>
      </c>
      <c r="F17" s="12">
        <v>0</v>
      </c>
      <c r="G17" s="150">
        <f>F17*E17</f>
        <v>0</v>
      </c>
      <c r="H17" s="10">
        <v>0</v>
      </c>
      <c r="I17" s="11">
        <f>H17*E17</f>
        <v>0</v>
      </c>
      <c r="J17" s="77">
        <f t="shared" si="0"/>
        <v>-1</v>
      </c>
      <c r="K17" s="88">
        <f t="shared" si="0"/>
        <v>-1</v>
      </c>
      <c r="L17" s="85">
        <v>3</v>
      </c>
      <c r="M17" s="182">
        <v>430</v>
      </c>
      <c r="N17" s="185"/>
    </row>
    <row r="18" spans="1:14">
      <c r="A18" s="268"/>
      <c r="B18" s="259"/>
      <c r="C18" s="335"/>
      <c r="D18" s="22" t="s">
        <v>37</v>
      </c>
      <c r="E18" s="69">
        <v>300</v>
      </c>
      <c r="F18" s="12">
        <v>0</v>
      </c>
      <c r="G18" s="150">
        <f>F18*E18</f>
        <v>0</v>
      </c>
      <c r="H18" s="10">
        <v>0</v>
      </c>
      <c r="I18" s="11">
        <f>H18*E18</f>
        <v>0</v>
      </c>
      <c r="J18" s="77" t="str">
        <f t="shared" si="0"/>
        <v>-</v>
      </c>
      <c r="K18" s="88" t="str">
        <f t="shared" si="0"/>
        <v>-</v>
      </c>
      <c r="L18" s="85">
        <v>0</v>
      </c>
      <c r="M18" s="182">
        <v>0</v>
      </c>
      <c r="N18" s="185" t="s">
        <v>23</v>
      </c>
    </row>
    <row r="19" spans="1:14">
      <c r="A19" s="268"/>
      <c r="B19" s="259"/>
      <c r="C19" s="336"/>
      <c r="D19" s="337" t="s">
        <v>16</v>
      </c>
      <c r="E19" s="251"/>
      <c r="F19" s="65">
        <f>SUM(F16:F18)</f>
        <v>0</v>
      </c>
      <c r="G19" s="151">
        <f>SUM(G16:G18)</f>
        <v>0</v>
      </c>
      <c r="H19" s="164">
        <f>SUM(H16:H18)</f>
        <v>0</v>
      </c>
      <c r="I19" s="165">
        <f>SUM(I16:I18)</f>
        <v>0</v>
      </c>
      <c r="J19" s="78">
        <f t="shared" si="0"/>
        <v>-1</v>
      </c>
      <c r="K19" s="89">
        <f t="shared" si="0"/>
        <v>-1</v>
      </c>
      <c r="L19" s="65">
        <f>SUM(L16:L18)</f>
        <v>8</v>
      </c>
      <c r="M19" s="151">
        <f>SUM(M16:M18)</f>
        <v>1100</v>
      </c>
      <c r="N19" s="185" t="s">
        <v>24</v>
      </c>
    </row>
    <row r="20" spans="1:14">
      <c r="A20" s="268"/>
      <c r="B20" s="259"/>
      <c r="C20" s="338" t="s">
        <v>17</v>
      </c>
      <c r="D20" s="24" t="s">
        <v>18</v>
      </c>
      <c r="E20" s="70">
        <v>440</v>
      </c>
      <c r="F20" s="5">
        <v>0</v>
      </c>
      <c r="G20" s="6">
        <f>F20*E20</f>
        <v>0</v>
      </c>
      <c r="H20" s="7">
        <v>0</v>
      </c>
      <c r="I20" s="8">
        <f>H20*E20</f>
        <v>0</v>
      </c>
      <c r="J20" s="9">
        <f t="shared" si="0"/>
        <v>-1</v>
      </c>
      <c r="K20" s="90">
        <f t="shared" si="0"/>
        <v>-1</v>
      </c>
      <c r="L20" s="86">
        <f>16+1</f>
        <v>17</v>
      </c>
      <c r="M20" s="183">
        <f>1320+5720+440</f>
        <v>7480</v>
      </c>
      <c r="N20" s="185" t="s">
        <v>25</v>
      </c>
    </row>
    <row r="21" spans="1:14">
      <c r="A21" s="268"/>
      <c r="B21" s="259"/>
      <c r="C21" s="335"/>
      <c r="D21" s="22" t="s">
        <v>19</v>
      </c>
      <c r="E21" s="69">
        <v>520</v>
      </c>
      <c r="F21" s="12">
        <v>0</v>
      </c>
      <c r="G21" s="150">
        <f>F21*E21</f>
        <v>0</v>
      </c>
      <c r="H21" s="10">
        <v>2</v>
      </c>
      <c r="I21" s="11">
        <f>H21*E21</f>
        <v>1040</v>
      </c>
      <c r="J21" s="77">
        <f t="shared" si="0"/>
        <v>-0.84615384615384615</v>
      </c>
      <c r="K21" s="88">
        <f t="shared" si="0"/>
        <v>-0.84615384615384615</v>
      </c>
      <c r="L21" s="85">
        <f>9+4</f>
        <v>13</v>
      </c>
      <c r="M21" s="182">
        <f>1560+3120+2080</f>
        <v>6760</v>
      </c>
      <c r="N21" s="185"/>
    </row>
    <row r="22" spans="1:14">
      <c r="A22" s="268"/>
      <c r="B22" s="259"/>
      <c r="C22" s="335"/>
      <c r="D22" s="22" t="s">
        <v>38</v>
      </c>
      <c r="E22" s="69">
        <v>600</v>
      </c>
      <c r="F22" s="12">
        <v>0</v>
      </c>
      <c r="G22" s="150">
        <f>F22*E22</f>
        <v>0</v>
      </c>
      <c r="H22" s="10">
        <v>0</v>
      </c>
      <c r="I22" s="11">
        <f>H22*E22</f>
        <v>0</v>
      </c>
      <c r="J22" s="77" t="str">
        <f t="shared" si="0"/>
        <v>-</v>
      </c>
      <c r="K22" s="88" t="str">
        <f t="shared" si="0"/>
        <v>-</v>
      </c>
      <c r="L22" s="85">
        <v>0</v>
      </c>
      <c r="M22" s="182">
        <v>0</v>
      </c>
      <c r="N22" s="185"/>
    </row>
    <row r="23" spans="1:14">
      <c r="A23" s="268"/>
      <c r="B23" s="259"/>
      <c r="C23" s="335"/>
      <c r="D23" s="339" t="s">
        <v>16</v>
      </c>
      <c r="E23" s="340"/>
      <c r="F23" s="66">
        <f>SUM(F20:F22)</f>
        <v>0</v>
      </c>
      <c r="G23" s="152">
        <f>SUM(G20:G22)</f>
        <v>0</v>
      </c>
      <c r="H23" s="166">
        <f>SUM(H20:H22)</f>
        <v>2</v>
      </c>
      <c r="I23" s="167">
        <f>SUM(I20:I22)</f>
        <v>1040</v>
      </c>
      <c r="J23" s="79">
        <f t="shared" si="0"/>
        <v>-0.93333333333333335</v>
      </c>
      <c r="K23" s="91">
        <f t="shared" si="0"/>
        <v>-0.9269662921348315</v>
      </c>
      <c r="L23" s="66">
        <f>SUM(L20:L22)</f>
        <v>30</v>
      </c>
      <c r="M23" s="152">
        <f>SUM(M20:M22)</f>
        <v>14240</v>
      </c>
      <c r="N23" s="185"/>
    </row>
    <row r="24" spans="1:14">
      <c r="A24" s="268"/>
      <c r="B24" s="260"/>
      <c r="C24" s="358" t="s">
        <v>20</v>
      </c>
      <c r="D24" s="358"/>
      <c r="E24" s="359"/>
      <c r="F24" s="67">
        <f>SUM(F19,F23)</f>
        <v>0</v>
      </c>
      <c r="G24" s="153">
        <f>SUM(G19,G23)</f>
        <v>0</v>
      </c>
      <c r="H24" s="168">
        <f>H23+H19</f>
        <v>2</v>
      </c>
      <c r="I24" s="169">
        <f>I23+I19</f>
        <v>1040</v>
      </c>
      <c r="J24" s="80">
        <f t="shared" si="0"/>
        <v>-0.94736842105263164</v>
      </c>
      <c r="K24" s="92">
        <f t="shared" si="0"/>
        <v>-0.93220338983050843</v>
      </c>
      <c r="L24" s="67">
        <f>SUM(L19,L23)</f>
        <v>38</v>
      </c>
      <c r="M24" s="153">
        <f>SUM(M19,M23)</f>
        <v>15340</v>
      </c>
      <c r="N24" s="191"/>
    </row>
    <row r="25" spans="1:14">
      <c r="A25" s="268"/>
      <c r="B25" s="382" t="s">
        <v>26</v>
      </c>
      <c r="C25" s="338" t="s">
        <v>12</v>
      </c>
      <c r="D25" s="24" t="s">
        <v>13</v>
      </c>
      <c r="E25" s="70">
        <v>190</v>
      </c>
      <c r="F25" s="5"/>
      <c r="G25" s="6">
        <f>F25*E25</f>
        <v>0</v>
      </c>
      <c r="H25" s="7">
        <v>1</v>
      </c>
      <c r="I25" s="8">
        <f>H25*E25</f>
        <v>190</v>
      </c>
      <c r="J25" s="9">
        <f t="shared" si="0"/>
        <v>-0.94736842105263164</v>
      </c>
      <c r="K25" s="90">
        <f t="shared" si="0"/>
        <v>-0.93470790378006874</v>
      </c>
      <c r="L25" s="86">
        <v>19</v>
      </c>
      <c r="M25" s="183">
        <v>2910</v>
      </c>
      <c r="N25" s="185" t="s">
        <v>22</v>
      </c>
    </row>
    <row r="26" spans="1:14">
      <c r="A26" s="268"/>
      <c r="B26" s="259"/>
      <c r="C26" s="335"/>
      <c r="D26" s="22" t="s">
        <v>15</v>
      </c>
      <c r="E26" s="69">
        <v>120</v>
      </c>
      <c r="F26" s="12"/>
      <c r="G26" s="150">
        <f>F26*E26</f>
        <v>0</v>
      </c>
      <c r="H26" s="10">
        <v>1</v>
      </c>
      <c r="I26" s="11">
        <f>H26*E26</f>
        <v>120</v>
      </c>
      <c r="J26" s="77" t="str">
        <f t="shared" si="0"/>
        <v>-</v>
      </c>
      <c r="K26" s="88" t="str">
        <f t="shared" si="0"/>
        <v>-</v>
      </c>
      <c r="L26" s="85">
        <v>0</v>
      </c>
      <c r="M26" s="182">
        <v>0</v>
      </c>
      <c r="N26" s="185"/>
    </row>
    <row r="27" spans="1:14">
      <c r="A27" s="268"/>
      <c r="B27" s="259"/>
      <c r="C27" s="335"/>
      <c r="D27" s="22" t="s">
        <v>37</v>
      </c>
      <c r="E27" s="69">
        <v>300</v>
      </c>
      <c r="F27" s="12">
        <v>1</v>
      </c>
      <c r="G27" s="150">
        <f>F27*E27</f>
        <v>300</v>
      </c>
      <c r="H27" s="10">
        <v>4</v>
      </c>
      <c r="I27" s="11">
        <f>H27*E27</f>
        <v>1200</v>
      </c>
      <c r="J27" s="77">
        <f t="shared" si="0"/>
        <v>-0.4285714285714286</v>
      </c>
      <c r="K27" s="88">
        <f t="shared" si="0"/>
        <v>-0.44700460829493083</v>
      </c>
      <c r="L27" s="85">
        <v>7</v>
      </c>
      <c r="M27" s="182">
        <v>2170</v>
      </c>
      <c r="N27" s="185" t="s">
        <v>27</v>
      </c>
    </row>
    <row r="28" spans="1:14">
      <c r="A28" s="268"/>
      <c r="B28" s="259"/>
      <c r="C28" s="336"/>
      <c r="D28" s="337" t="s">
        <v>16</v>
      </c>
      <c r="E28" s="251"/>
      <c r="F28" s="65">
        <f>SUM(F25:F27)</f>
        <v>1</v>
      </c>
      <c r="G28" s="151">
        <f>SUM(G25:G27)</f>
        <v>300</v>
      </c>
      <c r="H28" s="164">
        <f>SUM(H25:H27)</f>
        <v>6</v>
      </c>
      <c r="I28" s="165">
        <f>SUM(I25:I27)</f>
        <v>1510</v>
      </c>
      <c r="J28" s="78">
        <f t="shared" si="0"/>
        <v>-0.76923076923076916</v>
      </c>
      <c r="K28" s="89">
        <f t="shared" si="0"/>
        <v>-0.702755905511811</v>
      </c>
      <c r="L28" s="65">
        <f>SUM(L25:L27)</f>
        <v>26</v>
      </c>
      <c r="M28" s="151">
        <f>SUM(M25:M27)</f>
        <v>5080</v>
      </c>
      <c r="N28" s="185"/>
    </row>
    <row r="29" spans="1:14">
      <c r="A29" s="268"/>
      <c r="B29" s="259"/>
      <c r="C29" s="338" t="s">
        <v>17</v>
      </c>
      <c r="D29" s="24" t="s">
        <v>18</v>
      </c>
      <c r="E29" s="70">
        <v>440</v>
      </c>
      <c r="F29" s="5">
        <v>1</v>
      </c>
      <c r="G29" s="6">
        <f>F29*E29</f>
        <v>440</v>
      </c>
      <c r="H29" s="7">
        <v>10</v>
      </c>
      <c r="I29" s="8">
        <f>H29*E29</f>
        <v>4400</v>
      </c>
      <c r="J29" s="9">
        <f t="shared" si="0"/>
        <v>-0.81481481481481488</v>
      </c>
      <c r="K29" s="90">
        <f t="shared" si="0"/>
        <v>-0.81481481481481488</v>
      </c>
      <c r="L29" s="86">
        <v>54</v>
      </c>
      <c r="M29" s="183">
        <v>23760</v>
      </c>
      <c r="N29" s="185"/>
    </row>
    <row r="30" spans="1:14">
      <c r="A30" s="268"/>
      <c r="B30" s="259"/>
      <c r="C30" s="335"/>
      <c r="D30" s="22" t="s">
        <v>19</v>
      </c>
      <c r="E30" s="69">
        <v>520</v>
      </c>
      <c r="F30" s="12">
        <v>0</v>
      </c>
      <c r="G30" s="150">
        <f>F30*E30</f>
        <v>0</v>
      </c>
      <c r="H30" s="10">
        <v>6</v>
      </c>
      <c r="I30" s="11">
        <f>H30*E30</f>
        <v>3120</v>
      </c>
      <c r="J30" s="77">
        <f t="shared" si="0"/>
        <v>-0.85365853658536583</v>
      </c>
      <c r="K30" s="88">
        <f t="shared" si="0"/>
        <v>-0.85714285714285721</v>
      </c>
      <c r="L30" s="85">
        <v>41</v>
      </c>
      <c r="M30" s="182">
        <v>21840</v>
      </c>
      <c r="N30" s="185"/>
    </row>
    <row r="31" spans="1:14">
      <c r="A31" s="268"/>
      <c r="B31" s="259"/>
      <c r="C31" s="335"/>
      <c r="D31" s="22" t="s">
        <v>38</v>
      </c>
      <c r="E31" s="69">
        <v>600</v>
      </c>
      <c r="F31" s="12">
        <v>0</v>
      </c>
      <c r="G31" s="150">
        <f>F31*E31</f>
        <v>0</v>
      </c>
      <c r="H31" s="10">
        <v>2</v>
      </c>
      <c r="I31" s="11">
        <f>H31*E31</f>
        <v>1200</v>
      </c>
      <c r="J31" s="77" t="str">
        <f t="shared" si="0"/>
        <v>-</v>
      </c>
      <c r="K31" s="88" t="str">
        <f t="shared" si="0"/>
        <v>-</v>
      </c>
      <c r="L31" s="85">
        <v>0</v>
      </c>
      <c r="M31" s="182">
        <v>0</v>
      </c>
      <c r="N31" s="185"/>
    </row>
    <row r="32" spans="1:14">
      <c r="A32" s="268"/>
      <c r="B32" s="259"/>
      <c r="C32" s="335"/>
      <c r="D32" s="339" t="s">
        <v>16</v>
      </c>
      <c r="E32" s="340"/>
      <c r="F32" s="66">
        <f>SUM(F29:F31)</f>
        <v>1</v>
      </c>
      <c r="G32" s="152">
        <f>SUM(G29:G31)</f>
        <v>440</v>
      </c>
      <c r="H32" s="166">
        <f>SUM(H29:H31)</f>
        <v>18</v>
      </c>
      <c r="I32" s="167">
        <f>SUM(I29:I31)</f>
        <v>8720</v>
      </c>
      <c r="J32" s="79">
        <f t="shared" si="0"/>
        <v>-0.81052631578947365</v>
      </c>
      <c r="K32" s="91">
        <f t="shared" si="0"/>
        <v>-0.80877192982456136</v>
      </c>
      <c r="L32" s="66">
        <f>SUM(L29:L31)</f>
        <v>95</v>
      </c>
      <c r="M32" s="152">
        <f>SUM(M29:M31)</f>
        <v>45600</v>
      </c>
      <c r="N32" s="185"/>
    </row>
    <row r="33" spans="1:14">
      <c r="A33" s="269"/>
      <c r="B33" s="260"/>
      <c r="C33" s="358" t="s">
        <v>20</v>
      </c>
      <c r="D33" s="358"/>
      <c r="E33" s="359"/>
      <c r="F33" s="67">
        <f>SUM(F28,F32)</f>
        <v>2</v>
      </c>
      <c r="G33" s="153">
        <f>SUM(G28,G32)</f>
        <v>740</v>
      </c>
      <c r="H33" s="168">
        <f>H32+H28</f>
        <v>24</v>
      </c>
      <c r="I33" s="169">
        <f>I32+I28</f>
        <v>10230</v>
      </c>
      <c r="J33" s="80">
        <f t="shared" si="0"/>
        <v>-0.80165289256198347</v>
      </c>
      <c r="K33" s="92">
        <f t="shared" si="0"/>
        <v>-0.79814522494080509</v>
      </c>
      <c r="L33" s="67">
        <f>SUM(L28,L32)</f>
        <v>121</v>
      </c>
      <c r="M33" s="153">
        <f>SUM(M28,M32)</f>
        <v>50680</v>
      </c>
      <c r="N33" s="191"/>
    </row>
    <row r="34" spans="1:14">
      <c r="A34" s="348" t="s">
        <v>28</v>
      </c>
      <c r="B34" s="240"/>
      <c r="C34" s="240"/>
      <c r="D34" s="240"/>
      <c r="E34" s="241"/>
      <c r="F34" s="97">
        <f>F15+F24+F33</f>
        <v>3</v>
      </c>
      <c r="G34" s="158">
        <f>G15+G24+G33</f>
        <v>1550</v>
      </c>
      <c r="H34" s="173">
        <f>H15+H24+H33</f>
        <v>34</v>
      </c>
      <c r="I34" s="174">
        <f>I15+I24+I33</f>
        <v>16440</v>
      </c>
      <c r="J34" s="121">
        <f t="shared" si="0"/>
        <v>-0.84259259259259256</v>
      </c>
      <c r="K34" s="125">
        <f t="shared" si="0"/>
        <v>-0.82915930582978281</v>
      </c>
      <c r="L34" s="97">
        <f>L33+L24+L15</f>
        <v>216</v>
      </c>
      <c r="M34" s="158">
        <f>M33+M24+M15</f>
        <v>96230</v>
      </c>
      <c r="N34" s="185"/>
    </row>
    <row r="35" spans="1:14" ht="16.5" customHeight="1">
      <c r="A35" s="273" t="s">
        <v>46</v>
      </c>
      <c r="B35" s="383" t="s">
        <v>29</v>
      </c>
      <c r="C35" s="355" t="s">
        <v>30</v>
      </c>
      <c r="D35" s="46" t="s">
        <v>19</v>
      </c>
      <c r="E35" s="104">
        <v>990</v>
      </c>
      <c r="F35" s="98">
        <v>0</v>
      </c>
      <c r="G35" s="154">
        <f>F35*E35</f>
        <v>0</v>
      </c>
      <c r="H35" s="17">
        <v>9</v>
      </c>
      <c r="I35" s="18">
        <f>H35*E35</f>
        <v>8910</v>
      </c>
      <c r="J35" s="19">
        <f t="shared" si="0"/>
        <v>-9.9999999999999978E-2</v>
      </c>
      <c r="K35" s="87">
        <f t="shared" si="0"/>
        <v>-0.38124999999999998</v>
      </c>
      <c r="L35" s="98">
        <v>10</v>
      </c>
      <c r="M35" s="154">
        <v>14400</v>
      </c>
      <c r="N35" s="186"/>
    </row>
    <row r="36" spans="1:14">
      <c r="A36" s="274"/>
      <c r="B36" s="384"/>
      <c r="C36" s="354"/>
      <c r="D36" s="386" t="s">
        <v>16</v>
      </c>
      <c r="E36" s="387"/>
      <c r="F36" s="99">
        <f>F35</f>
        <v>0</v>
      </c>
      <c r="G36" s="155">
        <f>G35</f>
        <v>0</v>
      </c>
      <c r="H36" s="170">
        <f>H35</f>
        <v>9</v>
      </c>
      <c r="I36" s="171">
        <f>I35</f>
        <v>8910</v>
      </c>
      <c r="J36" s="78">
        <f t="shared" si="0"/>
        <v>-9.9999999999999978E-2</v>
      </c>
      <c r="K36" s="89">
        <f t="shared" si="0"/>
        <v>-0.38124999999999998</v>
      </c>
      <c r="L36" s="99">
        <f>SUM(L35)</f>
        <v>10</v>
      </c>
      <c r="M36" s="155">
        <f>SUM(M35)</f>
        <v>14400</v>
      </c>
      <c r="N36" s="186"/>
    </row>
    <row r="37" spans="1:14" hidden="1">
      <c r="A37" s="274"/>
      <c r="B37" s="385" t="s">
        <v>31</v>
      </c>
      <c r="C37" s="356" t="s">
        <v>32</v>
      </c>
      <c r="D37" s="45" t="s">
        <v>33</v>
      </c>
      <c r="E37" s="106">
        <v>50</v>
      </c>
      <c r="F37" s="100"/>
      <c r="G37" s="156"/>
      <c r="H37" s="21"/>
      <c r="I37" s="28"/>
      <c r="J37" s="9">
        <f t="shared" si="0"/>
        <v>-1</v>
      </c>
      <c r="K37" s="90">
        <f t="shared" si="0"/>
        <v>-1</v>
      </c>
      <c r="L37" s="100">
        <v>6</v>
      </c>
      <c r="M37" s="156">
        <v>300</v>
      </c>
      <c r="N37" s="186"/>
    </row>
    <row r="38" spans="1:14" hidden="1">
      <c r="A38" s="274"/>
      <c r="B38" s="316"/>
      <c r="C38" s="321"/>
      <c r="D38" s="40" t="s">
        <v>34</v>
      </c>
      <c r="E38" s="107">
        <v>100</v>
      </c>
      <c r="F38" s="101"/>
      <c r="G38" s="157"/>
      <c r="H38" s="20"/>
      <c r="I38" s="172"/>
      <c r="J38" s="77">
        <f t="shared" si="0"/>
        <v>-1</v>
      </c>
      <c r="K38" s="88">
        <f t="shared" si="0"/>
        <v>-1</v>
      </c>
      <c r="L38" s="101">
        <v>3</v>
      </c>
      <c r="M38" s="157">
        <v>300</v>
      </c>
      <c r="N38" s="186"/>
    </row>
    <row r="39" spans="1:14" hidden="1">
      <c r="A39" s="274"/>
      <c r="B39" s="316"/>
      <c r="C39" s="321"/>
      <c r="D39" s="40" t="s">
        <v>18</v>
      </c>
      <c r="E39" s="107">
        <v>150</v>
      </c>
      <c r="F39" s="101"/>
      <c r="G39" s="157"/>
      <c r="H39" s="20"/>
      <c r="I39" s="172"/>
      <c r="J39" s="77">
        <f t="shared" si="0"/>
        <v>-1</v>
      </c>
      <c r="K39" s="88">
        <f t="shared" si="0"/>
        <v>-1</v>
      </c>
      <c r="L39" s="101">
        <v>1</v>
      </c>
      <c r="M39" s="157">
        <v>150</v>
      </c>
      <c r="N39" s="186"/>
    </row>
    <row r="40" spans="1:14" hidden="1">
      <c r="A40" s="274"/>
      <c r="B40" s="316"/>
      <c r="C40" s="321"/>
      <c r="D40" s="40" t="s">
        <v>19</v>
      </c>
      <c r="E40" s="107">
        <v>200</v>
      </c>
      <c r="F40" s="101"/>
      <c r="G40" s="157"/>
      <c r="H40" s="20"/>
      <c r="I40" s="172"/>
      <c r="J40" s="77">
        <f t="shared" si="0"/>
        <v>-1</v>
      </c>
      <c r="K40" s="88">
        <f t="shared" si="0"/>
        <v>-1</v>
      </c>
      <c r="L40" s="101">
        <v>1</v>
      </c>
      <c r="M40" s="157">
        <v>200</v>
      </c>
      <c r="N40" s="186"/>
    </row>
    <row r="41" spans="1:14" hidden="1">
      <c r="A41" s="274"/>
      <c r="B41" s="316"/>
      <c r="C41" s="321"/>
      <c r="D41" s="40" t="s">
        <v>38</v>
      </c>
      <c r="E41" s="107">
        <v>250</v>
      </c>
      <c r="F41" s="101"/>
      <c r="G41" s="157"/>
      <c r="H41" s="20"/>
      <c r="I41" s="172"/>
      <c r="J41" s="77" t="str">
        <f t="shared" si="0"/>
        <v>-</v>
      </c>
      <c r="K41" s="88" t="str">
        <f t="shared" si="0"/>
        <v>-</v>
      </c>
      <c r="L41" s="101">
        <v>0</v>
      </c>
      <c r="M41" s="157">
        <v>0</v>
      </c>
      <c r="N41" s="186"/>
    </row>
    <row r="42" spans="1:14" hidden="1">
      <c r="A42" s="275"/>
      <c r="B42" s="352"/>
      <c r="C42" s="357"/>
      <c r="D42" s="60" t="s">
        <v>16</v>
      </c>
      <c r="E42" s="105">
        <v>0</v>
      </c>
      <c r="F42" s="99"/>
      <c r="G42" s="155"/>
      <c r="H42" s="170"/>
      <c r="I42" s="171"/>
      <c r="J42" s="78">
        <f t="shared" si="0"/>
        <v>-1</v>
      </c>
      <c r="K42" s="89">
        <f t="shared" si="0"/>
        <v>-1</v>
      </c>
      <c r="L42" s="99">
        <f>SUM(L37:L41)</f>
        <v>11</v>
      </c>
      <c r="M42" s="155">
        <f>SUM(M37:M41)</f>
        <v>950</v>
      </c>
      <c r="N42" s="192"/>
    </row>
    <row r="43" spans="1:14">
      <c r="A43" s="388" t="s">
        <v>47</v>
      </c>
      <c r="B43" s="388"/>
      <c r="C43" s="388"/>
      <c r="D43" s="388"/>
      <c r="E43" s="389"/>
      <c r="F43" s="97">
        <f>F42+F36</f>
        <v>0</v>
      </c>
      <c r="G43" s="158">
        <f>G42+G36</f>
        <v>0</v>
      </c>
      <c r="H43" s="173">
        <f>H42+H36</f>
        <v>9</v>
      </c>
      <c r="I43" s="174">
        <f>I42+I36</f>
        <v>8910</v>
      </c>
      <c r="J43" s="121">
        <f t="shared" si="0"/>
        <v>-0.5714285714285714</v>
      </c>
      <c r="K43" s="125">
        <f t="shared" si="0"/>
        <v>-0.41954397394136811</v>
      </c>
      <c r="L43" s="97">
        <f>L42+L36</f>
        <v>21</v>
      </c>
      <c r="M43" s="158">
        <f>M42+M36</f>
        <v>15350</v>
      </c>
      <c r="N43" s="186"/>
    </row>
    <row r="44" spans="1:14" hidden="1">
      <c r="A44" s="378" t="s">
        <v>48</v>
      </c>
      <c r="B44" s="380" t="s">
        <v>11</v>
      </c>
      <c r="C44" s="381" t="s">
        <v>12</v>
      </c>
      <c r="D44" s="23" t="s">
        <v>13</v>
      </c>
      <c r="E44" s="68">
        <v>275</v>
      </c>
      <c r="F44" s="13">
        <v>0</v>
      </c>
      <c r="G44" s="14">
        <f>F44*E44</f>
        <v>0</v>
      </c>
      <c r="H44" s="15">
        <f>F44</f>
        <v>0</v>
      </c>
      <c r="I44" s="16">
        <f>H44*E44</f>
        <v>0</v>
      </c>
      <c r="J44" s="19">
        <f t="shared" ref="J44:K82" si="1">IFERROR(H44/L44-1,"-")</f>
        <v>-1</v>
      </c>
      <c r="K44" s="87">
        <f t="shared" si="1"/>
        <v>-1</v>
      </c>
      <c r="L44" s="84">
        <v>3</v>
      </c>
      <c r="M44" s="181">
        <v>650</v>
      </c>
      <c r="N44" s="187"/>
    </row>
    <row r="45" spans="1:14" hidden="1">
      <c r="A45" s="305"/>
      <c r="B45" s="307"/>
      <c r="C45" s="308"/>
      <c r="D45" s="22" t="s">
        <v>15</v>
      </c>
      <c r="E45" s="69">
        <v>180</v>
      </c>
      <c r="F45" s="12"/>
      <c r="G45" s="150"/>
      <c r="H45" s="10">
        <v>0</v>
      </c>
      <c r="I45" s="11">
        <f>H45*E45</f>
        <v>0</v>
      </c>
      <c r="J45" s="77" t="str">
        <f t="shared" si="1"/>
        <v>-</v>
      </c>
      <c r="K45" s="88" t="str">
        <f t="shared" si="1"/>
        <v>-</v>
      </c>
      <c r="L45" s="85">
        <v>0</v>
      </c>
      <c r="M45" s="182">
        <v>0</v>
      </c>
      <c r="N45" s="187"/>
    </row>
    <row r="46" spans="1:14" hidden="1">
      <c r="A46" s="305"/>
      <c r="B46" s="307"/>
      <c r="C46" s="308"/>
      <c r="D46" s="22" t="s">
        <v>37</v>
      </c>
      <c r="E46" s="69">
        <v>420</v>
      </c>
      <c r="F46" s="12">
        <v>0</v>
      </c>
      <c r="G46" s="150">
        <f>F46*E46</f>
        <v>0</v>
      </c>
      <c r="H46" s="10">
        <v>0</v>
      </c>
      <c r="I46" s="11">
        <f>H46*E46</f>
        <v>0</v>
      </c>
      <c r="J46" s="77" t="str">
        <f t="shared" si="1"/>
        <v>-</v>
      </c>
      <c r="K46" s="88" t="str">
        <f t="shared" si="1"/>
        <v>-</v>
      </c>
      <c r="L46" s="85">
        <v>0</v>
      </c>
      <c r="M46" s="182">
        <v>0</v>
      </c>
      <c r="N46" s="186"/>
    </row>
    <row r="47" spans="1:14" hidden="1">
      <c r="A47" s="305"/>
      <c r="B47" s="307"/>
      <c r="C47" s="347"/>
      <c r="D47" s="337" t="s">
        <v>16</v>
      </c>
      <c r="E47" s="251"/>
      <c r="F47" s="65">
        <f>SUM(F44:F46)</f>
        <v>0</v>
      </c>
      <c r="G47" s="151">
        <f>SUM(G44:G46)</f>
        <v>0</v>
      </c>
      <c r="H47" s="164">
        <f>SUM(H44:H46)</f>
        <v>0</v>
      </c>
      <c r="I47" s="165">
        <f>SUM(I44:I46)</f>
        <v>0</v>
      </c>
      <c r="J47" s="78">
        <f t="shared" si="1"/>
        <v>-1</v>
      </c>
      <c r="K47" s="89">
        <f t="shared" si="1"/>
        <v>-1</v>
      </c>
      <c r="L47" s="65">
        <f>SUM(L44:L46)</f>
        <v>3</v>
      </c>
      <c r="M47" s="151">
        <f>SUM(M44:M46)</f>
        <v>650</v>
      </c>
      <c r="N47" s="186"/>
    </row>
    <row r="48" spans="1:14" hidden="1">
      <c r="A48" s="305"/>
      <c r="B48" s="307"/>
      <c r="C48" s="346" t="s">
        <v>17</v>
      </c>
      <c r="D48" s="24" t="s">
        <v>18</v>
      </c>
      <c r="E48" s="70">
        <v>550</v>
      </c>
      <c r="F48" s="5"/>
      <c r="G48" s="6">
        <f>F48*E48</f>
        <v>0</v>
      </c>
      <c r="H48" s="7"/>
      <c r="I48" s="8">
        <f>H48*E48</f>
        <v>0</v>
      </c>
      <c r="J48" s="9">
        <f t="shared" si="1"/>
        <v>-1</v>
      </c>
      <c r="K48" s="90">
        <f t="shared" si="1"/>
        <v>-1</v>
      </c>
      <c r="L48" s="86">
        <v>1</v>
      </c>
      <c r="M48" s="183">
        <v>720</v>
      </c>
      <c r="N48" s="186"/>
    </row>
    <row r="49" spans="1:14" hidden="1">
      <c r="A49" s="305"/>
      <c r="B49" s="307"/>
      <c r="C49" s="308"/>
      <c r="D49" s="22" t="s">
        <v>19</v>
      </c>
      <c r="E49" s="69">
        <v>675</v>
      </c>
      <c r="F49" s="12"/>
      <c r="G49" s="150"/>
      <c r="H49" s="10">
        <v>0</v>
      </c>
      <c r="I49" s="11">
        <f>H49*E49</f>
        <v>0</v>
      </c>
      <c r="J49" s="77">
        <f t="shared" si="1"/>
        <v>-1</v>
      </c>
      <c r="K49" s="88">
        <f t="shared" si="1"/>
        <v>-1</v>
      </c>
      <c r="L49" s="85">
        <v>1</v>
      </c>
      <c r="M49" s="182">
        <v>880</v>
      </c>
      <c r="N49" s="186"/>
    </row>
    <row r="50" spans="1:14" hidden="1">
      <c r="A50" s="305"/>
      <c r="B50" s="307"/>
      <c r="C50" s="308"/>
      <c r="D50" s="22" t="s">
        <v>38</v>
      </c>
      <c r="E50" s="69">
        <v>810</v>
      </c>
      <c r="F50" s="12">
        <v>0</v>
      </c>
      <c r="G50" s="150">
        <f>F50*E50</f>
        <v>0</v>
      </c>
      <c r="H50" s="10">
        <v>0</v>
      </c>
      <c r="I50" s="11">
        <f>H50*E50</f>
        <v>0</v>
      </c>
      <c r="J50" s="77" t="str">
        <f t="shared" si="1"/>
        <v>-</v>
      </c>
      <c r="K50" s="88" t="str">
        <f t="shared" si="1"/>
        <v>-</v>
      </c>
      <c r="L50" s="85">
        <v>0</v>
      </c>
      <c r="M50" s="182">
        <v>0</v>
      </c>
      <c r="N50" s="186"/>
    </row>
    <row r="51" spans="1:14" hidden="1">
      <c r="A51" s="305"/>
      <c r="B51" s="307"/>
      <c r="C51" s="347"/>
      <c r="D51" s="337" t="s">
        <v>16</v>
      </c>
      <c r="E51" s="251"/>
      <c r="F51" s="65">
        <f>SUM(F48:F50)</f>
        <v>0</v>
      </c>
      <c r="G51" s="151">
        <f>SUM(G48:G50)</f>
        <v>0</v>
      </c>
      <c r="H51" s="164">
        <f>SUM(H48:H50)</f>
        <v>0</v>
      </c>
      <c r="I51" s="165">
        <f>SUM(I48:I50)</f>
        <v>0</v>
      </c>
      <c r="J51" s="78">
        <f t="shared" si="1"/>
        <v>-1</v>
      </c>
      <c r="K51" s="89">
        <f t="shared" si="1"/>
        <v>-1</v>
      </c>
      <c r="L51" s="65">
        <f>SUM(L48:L50)</f>
        <v>2</v>
      </c>
      <c r="M51" s="151">
        <f>SUM(M48:M50)</f>
        <v>1600</v>
      </c>
      <c r="N51" s="186"/>
    </row>
    <row r="52" spans="1:14" hidden="1">
      <c r="A52" s="305"/>
      <c r="B52" s="345"/>
      <c r="C52" s="368" t="s">
        <v>20</v>
      </c>
      <c r="D52" s="369"/>
      <c r="E52" s="370"/>
      <c r="F52" s="102">
        <f>SUM(F47,F51)</f>
        <v>0</v>
      </c>
      <c r="G52" s="159">
        <f>SUM(G47,G51)</f>
        <v>0</v>
      </c>
      <c r="H52" s="175">
        <f>H51+H47</f>
        <v>0</v>
      </c>
      <c r="I52" s="176">
        <f>I51+I47</f>
        <v>0</v>
      </c>
      <c r="J52" s="122">
        <f t="shared" si="1"/>
        <v>-1</v>
      </c>
      <c r="K52" s="126">
        <f t="shared" si="1"/>
        <v>-1</v>
      </c>
      <c r="L52" s="102">
        <f>L51+L47</f>
        <v>5</v>
      </c>
      <c r="M52" s="159">
        <f>M51+M47</f>
        <v>2250</v>
      </c>
      <c r="N52" s="186"/>
    </row>
    <row r="53" spans="1:14" hidden="1">
      <c r="A53" s="305"/>
      <c r="B53" s="344" t="s">
        <v>21</v>
      </c>
      <c r="C53" s="346" t="s">
        <v>12</v>
      </c>
      <c r="D53" s="24" t="s">
        <v>13</v>
      </c>
      <c r="E53" s="70">
        <v>190</v>
      </c>
      <c r="F53" s="5">
        <v>0</v>
      </c>
      <c r="G53" s="6">
        <f>F53*E53</f>
        <v>0</v>
      </c>
      <c r="H53" s="7">
        <v>0</v>
      </c>
      <c r="I53" s="8">
        <f>H53*E53</f>
        <v>0</v>
      </c>
      <c r="J53" s="9" t="str">
        <f t="shared" si="1"/>
        <v>-</v>
      </c>
      <c r="K53" s="90" t="str">
        <f t="shared" si="1"/>
        <v>-</v>
      </c>
      <c r="L53" s="86">
        <v>0</v>
      </c>
      <c r="M53" s="183">
        <v>0</v>
      </c>
      <c r="N53" s="188"/>
    </row>
    <row r="54" spans="1:14" hidden="1">
      <c r="A54" s="305"/>
      <c r="B54" s="307"/>
      <c r="C54" s="308"/>
      <c r="D54" s="22" t="s">
        <v>15</v>
      </c>
      <c r="E54" s="69">
        <v>120</v>
      </c>
      <c r="F54" s="12"/>
      <c r="G54" s="150"/>
      <c r="H54" s="10">
        <v>0</v>
      </c>
      <c r="I54" s="11">
        <f>H54*E54</f>
        <v>0</v>
      </c>
      <c r="J54" s="77" t="str">
        <f t="shared" si="1"/>
        <v>-</v>
      </c>
      <c r="K54" s="88" t="str">
        <f t="shared" si="1"/>
        <v>-</v>
      </c>
      <c r="L54" s="85">
        <v>0</v>
      </c>
      <c r="M54" s="182">
        <v>0</v>
      </c>
      <c r="N54" s="188"/>
    </row>
    <row r="55" spans="1:14" hidden="1">
      <c r="A55" s="305"/>
      <c r="B55" s="307"/>
      <c r="C55" s="308"/>
      <c r="D55" s="22" t="s">
        <v>37</v>
      </c>
      <c r="E55" s="69">
        <v>300</v>
      </c>
      <c r="F55" s="12">
        <v>0</v>
      </c>
      <c r="G55" s="150">
        <f>F55*E55</f>
        <v>0</v>
      </c>
      <c r="H55" s="10">
        <v>0</v>
      </c>
      <c r="I55" s="11">
        <f>H55*E55</f>
        <v>0</v>
      </c>
      <c r="J55" s="77" t="str">
        <f t="shared" si="1"/>
        <v>-</v>
      </c>
      <c r="K55" s="88" t="str">
        <f t="shared" si="1"/>
        <v>-</v>
      </c>
      <c r="L55" s="85">
        <v>0</v>
      </c>
      <c r="M55" s="182">
        <v>0</v>
      </c>
      <c r="N55" s="188"/>
    </row>
    <row r="56" spans="1:14" hidden="1">
      <c r="A56" s="305"/>
      <c r="B56" s="307"/>
      <c r="C56" s="347"/>
      <c r="D56" s="337" t="s">
        <v>16</v>
      </c>
      <c r="E56" s="251"/>
      <c r="F56" s="65">
        <f>SUM(F53:F55)</f>
        <v>0</v>
      </c>
      <c r="G56" s="151">
        <f>SUM(G53:G55)</f>
        <v>0</v>
      </c>
      <c r="H56" s="164">
        <f>SUM(H53:H55)</f>
        <v>0</v>
      </c>
      <c r="I56" s="165">
        <f>SUM(I53:I55)</f>
        <v>0</v>
      </c>
      <c r="J56" s="78" t="str">
        <f t="shared" si="1"/>
        <v>-</v>
      </c>
      <c r="K56" s="89" t="str">
        <f t="shared" si="1"/>
        <v>-</v>
      </c>
      <c r="L56" s="65">
        <f>SUM(L53:L55)</f>
        <v>0</v>
      </c>
      <c r="M56" s="151">
        <f>SUM(M53:M55)</f>
        <v>0</v>
      </c>
      <c r="N56" s="188"/>
    </row>
    <row r="57" spans="1:14" hidden="1">
      <c r="A57" s="305"/>
      <c r="B57" s="307"/>
      <c r="C57" s="346" t="s">
        <v>17</v>
      </c>
      <c r="D57" s="24" t="s">
        <v>18</v>
      </c>
      <c r="E57" s="70">
        <v>440</v>
      </c>
      <c r="F57" s="5">
        <v>0</v>
      </c>
      <c r="G57" s="6">
        <f>F57*E57</f>
        <v>0</v>
      </c>
      <c r="H57" s="7">
        <v>0</v>
      </c>
      <c r="I57" s="8">
        <f>H57*E57</f>
        <v>0</v>
      </c>
      <c r="J57" s="9" t="str">
        <f t="shared" si="1"/>
        <v>-</v>
      </c>
      <c r="K57" s="90" t="str">
        <f t="shared" si="1"/>
        <v>-</v>
      </c>
      <c r="L57" s="86">
        <v>0</v>
      </c>
      <c r="M57" s="183">
        <v>0</v>
      </c>
      <c r="N57" s="188"/>
    </row>
    <row r="58" spans="1:14" hidden="1">
      <c r="A58" s="305"/>
      <c r="B58" s="307"/>
      <c r="C58" s="308"/>
      <c r="D58" s="22" t="s">
        <v>19</v>
      </c>
      <c r="E58" s="69">
        <v>520</v>
      </c>
      <c r="F58" s="12">
        <v>0</v>
      </c>
      <c r="G58" s="150">
        <v>0</v>
      </c>
      <c r="H58" s="10">
        <v>0</v>
      </c>
      <c r="I58" s="11">
        <f>H58*E58</f>
        <v>0</v>
      </c>
      <c r="J58" s="77" t="str">
        <f t="shared" si="1"/>
        <v>-</v>
      </c>
      <c r="K58" s="88" t="str">
        <f t="shared" si="1"/>
        <v>-</v>
      </c>
      <c r="L58" s="85">
        <v>0</v>
      </c>
      <c r="M58" s="182">
        <v>0</v>
      </c>
      <c r="N58" s="188"/>
    </row>
    <row r="59" spans="1:14" hidden="1">
      <c r="A59" s="305"/>
      <c r="B59" s="307"/>
      <c r="C59" s="308"/>
      <c r="D59" s="22" t="s">
        <v>38</v>
      </c>
      <c r="E59" s="69">
        <v>600</v>
      </c>
      <c r="F59" s="12">
        <v>0</v>
      </c>
      <c r="G59" s="150">
        <f>F59*E59</f>
        <v>0</v>
      </c>
      <c r="H59" s="10">
        <v>0</v>
      </c>
      <c r="I59" s="11">
        <f>H59*E59</f>
        <v>0</v>
      </c>
      <c r="J59" s="77" t="str">
        <f t="shared" si="1"/>
        <v>-</v>
      </c>
      <c r="K59" s="88" t="str">
        <f t="shared" si="1"/>
        <v>-</v>
      </c>
      <c r="L59" s="85">
        <v>0</v>
      </c>
      <c r="M59" s="182">
        <v>0</v>
      </c>
      <c r="N59" s="188"/>
    </row>
    <row r="60" spans="1:14" hidden="1">
      <c r="A60" s="305"/>
      <c r="B60" s="307"/>
      <c r="C60" s="347"/>
      <c r="D60" s="337" t="s">
        <v>16</v>
      </c>
      <c r="E60" s="251"/>
      <c r="F60" s="65">
        <f>SUM(F57:F59)</f>
        <v>0</v>
      </c>
      <c r="G60" s="151">
        <f>SUM(G57:G59)</f>
        <v>0</v>
      </c>
      <c r="H60" s="164">
        <f>SUM(H57:H59)</f>
        <v>0</v>
      </c>
      <c r="I60" s="165">
        <f>SUM(I57:I59)</f>
        <v>0</v>
      </c>
      <c r="J60" s="78" t="str">
        <f t="shared" si="1"/>
        <v>-</v>
      </c>
      <c r="K60" s="89" t="str">
        <f t="shared" si="1"/>
        <v>-</v>
      </c>
      <c r="L60" s="65">
        <f>SUM(L57:L59)</f>
        <v>0</v>
      </c>
      <c r="M60" s="151">
        <f>SUM(M57:M59)</f>
        <v>0</v>
      </c>
      <c r="N60" s="188"/>
    </row>
    <row r="61" spans="1:14" hidden="1">
      <c r="A61" s="305"/>
      <c r="B61" s="345"/>
      <c r="C61" s="368" t="s">
        <v>20</v>
      </c>
      <c r="D61" s="369"/>
      <c r="E61" s="370"/>
      <c r="F61" s="102">
        <f>SUM(F56,F60)</f>
        <v>0</v>
      </c>
      <c r="G61" s="159">
        <f>SUM(G56,G60)</f>
        <v>0</v>
      </c>
      <c r="H61" s="175">
        <f>H60+H56</f>
        <v>0</v>
      </c>
      <c r="I61" s="176">
        <f>I60+I56</f>
        <v>0</v>
      </c>
      <c r="J61" s="122" t="str">
        <f t="shared" si="1"/>
        <v>-</v>
      </c>
      <c r="K61" s="126" t="str">
        <f t="shared" si="1"/>
        <v>-</v>
      </c>
      <c r="L61" s="102">
        <f>SUM(L56,L60)</f>
        <v>0</v>
      </c>
      <c r="M61" s="159">
        <f>SUM(M56,M60)</f>
        <v>0</v>
      </c>
      <c r="N61" s="188"/>
    </row>
    <row r="62" spans="1:14" hidden="1">
      <c r="A62" s="305"/>
      <c r="B62" s="344" t="s">
        <v>26</v>
      </c>
      <c r="C62" s="346" t="s">
        <v>12</v>
      </c>
      <c r="D62" s="24" t="s">
        <v>13</v>
      </c>
      <c r="E62" s="70">
        <v>190</v>
      </c>
      <c r="F62" s="5">
        <v>0</v>
      </c>
      <c r="G62" s="6">
        <f>F62*E62</f>
        <v>0</v>
      </c>
      <c r="H62" s="7">
        <v>0</v>
      </c>
      <c r="I62" s="8">
        <f>H62*E62</f>
        <v>0</v>
      </c>
      <c r="J62" s="9">
        <f t="shared" si="1"/>
        <v>-1</v>
      </c>
      <c r="K62" s="90">
        <f t="shared" si="1"/>
        <v>-1</v>
      </c>
      <c r="L62" s="86">
        <v>5</v>
      </c>
      <c r="M62" s="183">
        <v>1020</v>
      </c>
      <c r="N62" s="188"/>
    </row>
    <row r="63" spans="1:14" hidden="1">
      <c r="A63" s="305"/>
      <c r="B63" s="307"/>
      <c r="C63" s="308"/>
      <c r="D63" s="22" t="s">
        <v>15</v>
      </c>
      <c r="E63" s="69">
        <v>120</v>
      </c>
      <c r="F63" s="12">
        <v>0</v>
      </c>
      <c r="G63" s="150">
        <v>0</v>
      </c>
      <c r="H63" s="10">
        <v>0</v>
      </c>
      <c r="I63" s="11">
        <f>H63*E63</f>
        <v>0</v>
      </c>
      <c r="J63" s="77" t="str">
        <f t="shared" si="1"/>
        <v>-</v>
      </c>
      <c r="K63" s="88" t="str">
        <f t="shared" si="1"/>
        <v>-</v>
      </c>
      <c r="L63" s="85">
        <v>0</v>
      </c>
      <c r="M63" s="182">
        <v>0</v>
      </c>
      <c r="N63" s="188"/>
    </row>
    <row r="64" spans="1:14" hidden="1">
      <c r="A64" s="305"/>
      <c r="B64" s="307"/>
      <c r="C64" s="308"/>
      <c r="D64" s="22" t="s">
        <v>37</v>
      </c>
      <c r="E64" s="69">
        <v>300</v>
      </c>
      <c r="F64" s="12">
        <v>0</v>
      </c>
      <c r="G64" s="150">
        <f>F64*E64</f>
        <v>0</v>
      </c>
      <c r="H64" s="10">
        <v>0</v>
      </c>
      <c r="I64" s="11">
        <f>H64*E64</f>
        <v>0</v>
      </c>
      <c r="J64" s="77">
        <f t="shared" si="1"/>
        <v>-1</v>
      </c>
      <c r="K64" s="88">
        <f t="shared" si="1"/>
        <v>-1</v>
      </c>
      <c r="L64" s="85">
        <v>5</v>
      </c>
      <c r="M64" s="182">
        <v>1800</v>
      </c>
      <c r="N64" s="188"/>
    </row>
    <row r="65" spans="1:14" hidden="1">
      <c r="A65" s="305"/>
      <c r="B65" s="307"/>
      <c r="C65" s="347"/>
      <c r="D65" s="337" t="s">
        <v>16</v>
      </c>
      <c r="E65" s="251"/>
      <c r="F65" s="65">
        <f>SUM(F62:F64)</f>
        <v>0</v>
      </c>
      <c r="G65" s="151">
        <f>SUM(G62:G64)</f>
        <v>0</v>
      </c>
      <c r="H65" s="164">
        <f>SUM(H62:H64)</f>
        <v>0</v>
      </c>
      <c r="I65" s="165">
        <f>SUM(I62:I64)</f>
        <v>0</v>
      </c>
      <c r="J65" s="78">
        <f t="shared" si="1"/>
        <v>-1</v>
      </c>
      <c r="K65" s="89">
        <f t="shared" si="1"/>
        <v>-1</v>
      </c>
      <c r="L65" s="65">
        <f>SUM(L62:L64)</f>
        <v>10</v>
      </c>
      <c r="M65" s="151">
        <f>SUM(M62:M64)</f>
        <v>2820</v>
      </c>
      <c r="N65" s="188"/>
    </row>
    <row r="66" spans="1:14" hidden="1">
      <c r="A66" s="305"/>
      <c r="B66" s="307"/>
      <c r="C66" s="346" t="s">
        <v>17</v>
      </c>
      <c r="D66" s="24" t="s">
        <v>18</v>
      </c>
      <c r="E66" s="70">
        <v>440</v>
      </c>
      <c r="F66" s="5">
        <v>0</v>
      </c>
      <c r="G66" s="6">
        <f>F66*E66</f>
        <v>0</v>
      </c>
      <c r="H66" s="7">
        <v>0</v>
      </c>
      <c r="I66" s="8">
        <f>H66*E66</f>
        <v>0</v>
      </c>
      <c r="J66" s="9">
        <f t="shared" si="1"/>
        <v>-1</v>
      </c>
      <c r="K66" s="90">
        <f t="shared" si="1"/>
        <v>-1</v>
      </c>
      <c r="L66" s="86">
        <v>3</v>
      </c>
      <c r="M66" s="183">
        <v>1770</v>
      </c>
      <c r="N66" s="188"/>
    </row>
    <row r="67" spans="1:14" hidden="1">
      <c r="A67" s="305"/>
      <c r="B67" s="307"/>
      <c r="C67" s="308"/>
      <c r="D67" s="22" t="s">
        <v>19</v>
      </c>
      <c r="E67" s="69">
        <v>520</v>
      </c>
      <c r="F67" s="12">
        <v>0</v>
      </c>
      <c r="G67" s="150">
        <v>0</v>
      </c>
      <c r="H67" s="10">
        <v>0</v>
      </c>
      <c r="I67" s="11">
        <f>H67*E67</f>
        <v>0</v>
      </c>
      <c r="J67" s="77">
        <f t="shared" si="1"/>
        <v>-1</v>
      </c>
      <c r="K67" s="88">
        <f t="shared" si="1"/>
        <v>-1</v>
      </c>
      <c r="L67" s="85">
        <v>3</v>
      </c>
      <c r="M67" s="182">
        <v>2160</v>
      </c>
      <c r="N67" s="188"/>
    </row>
    <row r="68" spans="1:14" hidden="1">
      <c r="A68" s="305"/>
      <c r="B68" s="307"/>
      <c r="C68" s="308"/>
      <c r="D68" s="22" t="s">
        <v>38</v>
      </c>
      <c r="E68" s="69">
        <v>600</v>
      </c>
      <c r="F68" s="12">
        <v>0</v>
      </c>
      <c r="G68" s="150">
        <f>F68*E68</f>
        <v>0</v>
      </c>
      <c r="H68" s="10">
        <v>0</v>
      </c>
      <c r="I68" s="11">
        <f>H68*E68</f>
        <v>0</v>
      </c>
      <c r="J68" s="77" t="str">
        <f t="shared" si="1"/>
        <v>-</v>
      </c>
      <c r="K68" s="88" t="str">
        <f t="shared" si="1"/>
        <v>-</v>
      </c>
      <c r="L68" s="85">
        <v>0</v>
      </c>
      <c r="M68" s="182">
        <v>0</v>
      </c>
      <c r="N68" s="188"/>
    </row>
    <row r="69" spans="1:14" hidden="1">
      <c r="A69" s="305"/>
      <c r="B69" s="307"/>
      <c r="C69" s="347"/>
      <c r="D69" s="337" t="s">
        <v>16</v>
      </c>
      <c r="E69" s="251"/>
      <c r="F69" s="65">
        <f>SUM(F66:F68)</f>
        <v>0</v>
      </c>
      <c r="G69" s="151">
        <f>SUM(G66:G68)</f>
        <v>0</v>
      </c>
      <c r="H69" s="164">
        <f>SUM(H66:H68)</f>
        <v>0</v>
      </c>
      <c r="I69" s="165">
        <f>SUM(I66:I68)</f>
        <v>0</v>
      </c>
      <c r="J69" s="78">
        <f t="shared" si="1"/>
        <v>-1</v>
      </c>
      <c r="K69" s="89">
        <f t="shared" si="1"/>
        <v>-1</v>
      </c>
      <c r="L69" s="65">
        <f>SUM(L66:L68)</f>
        <v>6</v>
      </c>
      <c r="M69" s="151">
        <f>SUM(M66:M68)</f>
        <v>3930</v>
      </c>
      <c r="N69" s="188"/>
    </row>
    <row r="70" spans="1:14" hidden="1">
      <c r="A70" s="379"/>
      <c r="B70" s="345"/>
      <c r="C70" s="368" t="s">
        <v>20</v>
      </c>
      <c r="D70" s="369"/>
      <c r="E70" s="370"/>
      <c r="F70" s="102">
        <f>SUM(F65,F69)</f>
        <v>0</v>
      </c>
      <c r="G70" s="159">
        <f>SUM(G65,G69)</f>
        <v>0</v>
      </c>
      <c r="H70" s="175">
        <f>H69+H65</f>
        <v>0</v>
      </c>
      <c r="I70" s="176">
        <f>I69+I65</f>
        <v>0</v>
      </c>
      <c r="J70" s="122">
        <f t="shared" si="1"/>
        <v>-1</v>
      </c>
      <c r="K70" s="126">
        <f t="shared" si="1"/>
        <v>-1</v>
      </c>
      <c r="L70" s="102">
        <f>L69+L65</f>
        <v>16</v>
      </c>
      <c r="M70" s="159">
        <f>M69+M65</f>
        <v>6750</v>
      </c>
      <c r="N70" s="188"/>
    </row>
    <row r="71" spans="1:14" hidden="1">
      <c r="A71" s="239" t="s">
        <v>49</v>
      </c>
      <c r="B71" s="240"/>
      <c r="C71" s="240"/>
      <c r="D71" s="240"/>
      <c r="E71" s="241"/>
      <c r="F71" s="97">
        <f>F70+F61+F52</f>
        <v>0</v>
      </c>
      <c r="G71" s="158">
        <f>G70+G61+G52</f>
        <v>0</v>
      </c>
      <c r="H71" s="173">
        <f>H70+H61+H52</f>
        <v>0</v>
      </c>
      <c r="I71" s="174">
        <f>I70+I61+I52</f>
        <v>0</v>
      </c>
      <c r="J71" s="121">
        <f t="shared" si="1"/>
        <v>-1</v>
      </c>
      <c r="K71" s="125">
        <f t="shared" si="1"/>
        <v>-1</v>
      </c>
      <c r="L71" s="97">
        <f>L70+L61+L52</f>
        <v>21</v>
      </c>
      <c r="M71" s="158">
        <f>M70+M61+M52</f>
        <v>9000</v>
      </c>
      <c r="N71" s="188"/>
    </row>
    <row r="72" spans="1:14" ht="16.5" hidden="1" customHeight="1">
      <c r="A72" s="360" t="s">
        <v>51</v>
      </c>
      <c r="B72" s="362" t="s">
        <v>50</v>
      </c>
      <c r="C72" s="364" t="s">
        <v>12</v>
      </c>
      <c r="D72" s="61" t="s">
        <v>52</v>
      </c>
      <c r="E72" s="109"/>
      <c r="F72" s="98"/>
      <c r="G72" s="154"/>
      <c r="H72" s="17"/>
      <c r="I72" s="18"/>
      <c r="J72" s="19">
        <f t="shared" si="1"/>
        <v>-1</v>
      </c>
      <c r="K72" s="87">
        <f t="shared" si="1"/>
        <v>-1</v>
      </c>
      <c r="L72" s="98">
        <v>15</v>
      </c>
      <c r="M72" s="154">
        <f>1690+910</f>
        <v>2600</v>
      </c>
      <c r="N72" s="189"/>
    </row>
    <row r="73" spans="1:14" hidden="1">
      <c r="A73" s="319"/>
      <c r="B73" s="324"/>
      <c r="C73" s="317"/>
      <c r="D73" s="51" t="s">
        <v>53</v>
      </c>
      <c r="E73" s="110"/>
      <c r="F73" s="101"/>
      <c r="G73" s="157"/>
      <c r="H73" s="20"/>
      <c r="I73" s="172"/>
      <c r="J73" s="77" t="str">
        <f t="shared" si="1"/>
        <v>-</v>
      </c>
      <c r="K73" s="88" t="str">
        <f t="shared" si="1"/>
        <v>-</v>
      </c>
      <c r="L73" s="101">
        <v>0</v>
      </c>
      <c r="M73" s="157">
        <v>0</v>
      </c>
      <c r="N73" s="189"/>
    </row>
    <row r="74" spans="1:14" hidden="1">
      <c r="A74" s="319"/>
      <c r="B74" s="324"/>
      <c r="C74" s="317"/>
      <c r="D74" s="51" t="s">
        <v>37</v>
      </c>
      <c r="E74" s="110"/>
      <c r="F74" s="101"/>
      <c r="G74" s="157"/>
      <c r="H74" s="20"/>
      <c r="I74" s="172"/>
      <c r="J74" s="77">
        <f t="shared" si="1"/>
        <v>-1</v>
      </c>
      <c r="K74" s="88">
        <f t="shared" si="1"/>
        <v>-1</v>
      </c>
      <c r="L74" s="101">
        <v>1</v>
      </c>
      <c r="M74" s="157">
        <v>310</v>
      </c>
      <c r="N74" s="189"/>
    </row>
    <row r="75" spans="1:14" hidden="1">
      <c r="A75" s="319"/>
      <c r="B75" s="324"/>
      <c r="C75" s="365"/>
      <c r="D75" s="366" t="s">
        <v>16</v>
      </c>
      <c r="E75" s="249"/>
      <c r="F75" s="99">
        <f>SUM(F72:F74)</f>
        <v>0</v>
      </c>
      <c r="G75" s="155">
        <f>SUM(G72:G74)</f>
        <v>0</v>
      </c>
      <c r="H75" s="170">
        <f>SUM(H72:H74)</f>
        <v>0</v>
      </c>
      <c r="I75" s="171">
        <f>SUM(I72:I74)</f>
        <v>0</v>
      </c>
      <c r="J75" s="78">
        <f t="shared" si="1"/>
        <v>-1</v>
      </c>
      <c r="K75" s="89">
        <f t="shared" si="1"/>
        <v>-1</v>
      </c>
      <c r="L75" s="99">
        <f>SUM(L72:L74)</f>
        <v>16</v>
      </c>
      <c r="M75" s="155">
        <f>SUM(M72:M74)</f>
        <v>2910</v>
      </c>
      <c r="N75" s="189"/>
    </row>
    <row r="76" spans="1:14" hidden="1">
      <c r="A76" s="319"/>
      <c r="B76" s="324"/>
      <c r="C76" s="367" t="s">
        <v>17</v>
      </c>
      <c r="D76" s="59" t="s">
        <v>18</v>
      </c>
      <c r="E76" s="111"/>
      <c r="F76" s="100"/>
      <c r="G76" s="156"/>
      <c r="H76" s="21"/>
      <c r="I76" s="28"/>
      <c r="J76" s="9">
        <f t="shared" si="1"/>
        <v>-1</v>
      </c>
      <c r="K76" s="90">
        <f t="shared" si="1"/>
        <v>-1</v>
      </c>
      <c r="L76" s="100">
        <f>33+4+1+9</f>
        <v>47</v>
      </c>
      <c r="M76" s="156">
        <f>14520+1760+490+4410</f>
        <v>21180</v>
      </c>
      <c r="N76" s="189"/>
    </row>
    <row r="77" spans="1:14" hidden="1">
      <c r="A77" s="319"/>
      <c r="B77" s="324"/>
      <c r="C77" s="317"/>
      <c r="D77" s="51" t="s">
        <v>19</v>
      </c>
      <c r="E77" s="110"/>
      <c r="F77" s="101"/>
      <c r="G77" s="157"/>
      <c r="H77" s="20"/>
      <c r="I77" s="172"/>
      <c r="J77" s="77">
        <f t="shared" si="1"/>
        <v>-1</v>
      </c>
      <c r="K77" s="88">
        <f t="shared" si="1"/>
        <v>-1</v>
      </c>
      <c r="L77" s="101">
        <f>34+6</f>
        <v>40</v>
      </c>
      <c r="M77" s="157">
        <f>17680+3420</f>
        <v>21100</v>
      </c>
      <c r="N77" s="189"/>
    </row>
    <row r="78" spans="1:14" hidden="1">
      <c r="A78" s="319"/>
      <c r="B78" s="324"/>
      <c r="C78" s="317"/>
      <c r="D78" s="51" t="s">
        <v>38</v>
      </c>
      <c r="E78" s="110"/>
      <c r="F78" s="101"/>
      <c r="G78" s="157"/>
      <c r="H78" s="20"/>
      <c r="I78" s="172"/>
      <c r="J78" s="77" t="str">
        <f t="shared" si="1"/>
        <v>-</v>
      </c>
      <c r="K78" s="88" t="str">
        <f t="shared" si="1"/>
        <v>-</v>
      </c>
      <c r="L78" s="101">
        <v>0</v>
      </c>
      <c r="M78" s="157">
        <v>0</v>
      </c>
      <c r="N78" s="189"/>
    </row>
    <row r="79" spans="1:14" hidden="1">
      <c r="A79" s="319"/>
      <c r="B79" s="324"/>
      <c r="C79" s="365"/>
      <c r="D79" s="366" t="s">
        <v>16</v>
      </c>
      <c r="E79" s="249"/>
      <c r="F79" s="99">
        <f>SUM(F76:F78)</f>
        <v>0</v>
      </c>
      <c r="G79" s="155">
        <f>SUM(G76:G78)</f>
        <v>0</v>
      </c>
      <c r="H79" s="170">
        <f>SUM(H76:H78)</f>
        <v>0</v>
      </c>
      <c r="I79" s="171">
        <f>SUM(I76:I78)</f>
        <v>0</v>
      </c>
      <c r="J79" s="78">
        <f t="shared" si="1"/>
        <v>-1</v>
      </c>
      <c r="K79" s="89">
        <f t="shared" si="1"/>
        <v>-1</v>
      </c>
      <c r="L79" s="99">
        <f>SUM(L76:L78)</f>
        <v>87</v>
      </c>
      <c r="M79" s="155">
        <f>SUM(M76:M78)</f>
        <v>42280</v>
      </c>
      <c r="N79" s="189"/>
    </row>
    <row r="80" spans="1:14" hidden="1">
      <c r="A80" s="319"/>
      <c r="B80" s="324"/>
      <c r="C80" s="367" t="s">
        <v>54</v>
      </c>
      <c r="D80" s="59" t="s">
        <v>19</v>
      </c>
      <c r="E80" s="111"/>
      <c r="F80" s="100"/>
      <c r="G80" s="156"/>
      <c r="H80" s="21"/>
      <c r="I80" s="28"/>
      <c r="J80" s="9" t="str">
        <f t="shared" si="1"/>
        <v>-</v>
      </c>
      <c r="K80" s="90" t="str">
        <f t="shared" si="1"/>
        <v>-</v>
      </c>
      <c r="L80" s="100">
        <v>0</v>
      </c>
      <c r="M80" s="156">
        <v>0</v>
      </c>
      <c r="N80" s="189"/>
    </row>
    <row r="81" spans="1:14" hidden="1">
      <c r="A81" s="361"/>
      <c r="B81" s="363"/>
      <c r="C81" s="365"/>
      <c r="D81" s="366" t="s">
        <v>16</v>
      </c>
      <c r="E81" s="249"/>
      <c r="F81" s="99">
        <f>SUM(F80)</f>
        <v>0</v>
      </c>
      <c r="G81" s="155">
        <f>SUM(G80)</f>
        <v>0</v>
      </c>
      <c r="H81" s="170">
        <f>SUM(H80)</f>
        <v>0</v>
      </c>
      <c r="I81" s="171">
        <f>SUM(I80)</f>
        <v>0</v>
      </c>
      <c r="J81" s="78" t="str">
        <f t="shared" si="1"/>
        <v>-</v>
      </c>
      <c r="K81" s="89" t="str">
        <f t="shared" si="1"/>
        <v>-</v>
      </c>
      <c r="L81" s="99">
        <f>SUM(L80)</f>
        <v>0</v>
      </c>
      <c r="M81" s="155">
        <f>SUM(M80)</f>
        <v>0</v>
      </c>
      <c r="N81" s="189"/>
    </row>
    <row r="82" spans="1:14" hidden="1">
      <c r="A82" s="371" t="s">
        <v>58</v>
      </c>
      <c r="B82" s="372"/>
      <c r="C82" s="372"/>
      <c r="D82" s="372"/>
      <c r="E82" s="373"/>
      <c r="F82" s="103">
        <f>F81+F79+F75</f>
        <v>0</v>
      </c>
      <c r="G82" s="160">
        <f>G81+G79+G75</f>
        <v>0</v>
      </c>
      <c r="H82" s="177">
        <f>H81+H79+H75</f>
        <v>0</v>
      </c>
      <c r="I82" s="178">
        <f>I81+I79+I75</f>
        <v>0</v>
      </c>
      <c r="J82" s="121">
        <f t="shared" si="1"/>
        <v>-1</v>
      </c>
      <c r="K82" s="125">
        <f t="shared" si="1"/>
        <v>-1</v>
      </c>
      <c r="L82" s="103">
        <f>L81+L79+L75</f>
        <v>103</v>
      </c>
      <c r="M82" s="160">
        <f>M81+M79+M75</f>
        <v>45190</v>
      </c>
      <c r="N82" s="188"/>
    </row>
    <row r="83" spans="1:14" ht="17.25" thickBot="1">
      <c r="A83" s="374" t="s">
        <v>55</v>
      </c>
      <c r="B83" s="374"/>
      <c r="C83" s="374"/>
      <c r="D83" s="374"/>
      <c r="E83" s="375"/>
      <c r="F83" s="142">
        <f>F82+F71+F43+F34</f>
        <v>3</v>
      </c>
      <c r="G83" s="146">
        <f>G82+G71+G43+G34</f>
        <v>1550</v>
      </c>
      <c r="H83" s="179">
        <f>H82+H71+H43+H34</f>
        <v>43</v>
      </c>
      <c r="I83" s="180">
        <f>I82+I71+I43+I34</f>
        <v>25350</v>
      </c>
      <c r="J83" s="161">
        <f>IFERROR(H83/L83-1,"-")</f>
        <v>-0.88088642659279781</v>
      </c>
      <c r="K83" s="148">
        <f>IFERROR(I83/M83-1,"-")</f>
        <v>-0.8470772757435</v>
      </c>
      <c r="L83" s="142">
        <f>L82+L71+L43+L34</f>
        <v>361</v>
      </c>
      <c r="M83" s="146">
        <f>M82+M71+M43+M34</f>
        <v>165770</v>
      </c>
      <c r="N83" s="190"/>
    </row>
    <row r="84" spans="1:14">
      <c r="A84" s="25" t="s">
        <v>42</v>
      </c>
    </row>
    <row r="85" spans="1:14">
      <c r="A85" s="25" t="s">
        <v>40</v>
      </c>
    </row>
    <row r="86" spans="1:14">
      <c r="A86" s="25" t="s">
        <v>41</v>
      </c>
    </row>
  </sheetData>
  <mergeCells count="64"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A5:D6"/>
    <mergeCell ref="E5:E6"/>
    <mergeCell ref="F5:G5"/>
    <mergeCell ref="H5:I5"/>
    <mergeCell ref="J5:K5"/>
    <mergeCell ref="L5:M5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82:E82"/>
    <mergeCell ref="A83:E83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A0B4-81A4-4A6E-B9D5-1A01BB775C71}">
  <dimension ref="A1:N86"/>
  <sheetViews>
    <sheetView showGridLines="0" zoomScale="85" zoomScaleNormal="85" workbookViewId="0">
      <selection activeCell="Q8" sqref="Q8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6" width="7.375" customWidth="1"/>
    <col min="7" max="7" width="8.75" customWidth="1"/>
    <col min="8" max="8" width="7.125" customWidth="1"/>
    <col min="9" max="9" width="9.375" customWidth="1"/>
    <col min="10" max="11" width="7.25" customWidth="1"/>
    <col min="12" max="12" width="7.625" customWidth="1"/>
    <col min="13" max="13" width="9.375" customWidth="1"/>
    <col min="14" max="14" width="13.75" customWidth="1"/>
  </cols>
  <sheetData>
    <row r="1" spans="1:14" ht="20.25">
      <c r="A1" s="26" t="s">
        <v>65</v>
      </c>
    </row>
    <row r="2" spans="1:14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7.25" thickBot="1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7" t="s">
        <v>1</v>
      </c>
    </row>
    <row r="5" spans="1:14" ht="23.25" customHeight="1">
      <c r="A5" s="289" t="s">
        <v>2</v>
      </c>
      <c r="B5" s="290"/>
      <c r="C5" s="290"/>
      <c r="D5" s="291"/>
      <c r="E5" s="295" t="s">
        <v>3</v>
      </c>
      <c r="F5" s="342" t="s">
        <v>66</v>
      </c>
      <c r="G5" s="298"/>
      <c r="H5" s="299" t="s">
        <v>39</v>
      </c>
      <c r="I5" s="300"/>
      <c r="J5" s="301" t="s">
        <v>4</v>
      </c>
      <c r="K5" s="285"/>
      <c r="L5" s="301" t="s">
        <v>44</v>
      </c>
      <c r="M5" s="285"/>
      <c r="N5" s="286" t="s">
        <v>5</v>
      </c>
    </row>
    <row r="6" spans="1:14">
      <c r="A6" s="292"/>
      <c r="B6" s="293"/>
      <c r="C6" s="293"/>
      <c r="D6" s="294"/>
      <c r="E6" s="296"/>
      <c r="F6" s="62" t="s">
        <v>6</v>
      </c>
      <c r="G6" s="149" t="s">
        <v>7</v>
      </c>
      <c r="H6" s="162" t="s">
        <v>8</v>
      </c>
      <c r="I6" s="163" t="s">
        <v>9</v>
      </c>
      <c r="J6" s="63" t="s">
        <v>8</v>
      </c>
      <c r="K6" s="64" t="s">
        <v>9</v>
      </c>
      <c r="L6" s="63" t="s">
        <v>8</v>
      </c>
      <c r="M6" s="64" t="s">
        <v>9</v>
      </c>
      <c r="N6" s="287"/>
    </row>
    <row r="7" spans="1:14">
      <c r="A7" s="288" t="s">
        <v>10</v>
      </c>
      <c r="B7" s="258" t="s">
        <v>11</v>
      </c>
      <c r="C7" s="334" t="s">
        <v>12</v>
      </c>
      <c r="D7" s="23" t="s">
        <v>13</v>
      </c>
      <c r="E7" s="68">
        <v>275</v>
      </c>
      <c r="F7" s="13">
        <v>0</v>
      </c>
      <c r="G7" s="14">
        <f>F7*E7</f>
        <v>0</v>
      </c>
      <c r="H7" s="15">
        <f>F7</f>
        <v>0</v>
      </c>
      <c r="I7" s="16">
        <f>H7*E7</f>
        <v>0</v>
      </c>
      <c r="J7" s="19">
        <f t="shared" ref="J7:K43" si="0">IFERROR(H7/L7-1,"-")</f>
        <v>-1</v>
      </c>
      <c r="K7" s="87">
        <f t="shared" si="0"/>
        <v>-1</v>
      </c>
      <c r="L7" s="84">
        <f>3+5</f>
        <v>8</v>
      </c>
      <c r="M7" s="181">
        <f>690+1210</f>
        <v>1900</v>
      </c>
      <c r="N7" s="184" t="s">
        <v>14</v>
      </c>
    </row>
    <row r="8" spans="1:14">
      <c r="A8" s="268"/>
      <c r="B8" s="259"/>
      <c r="C8" s="335"/>
      <c r="D8" s="22" t="s">
        <v>15</v>
      </c>
      <c r="E8" s="69">
        <v>180</v>
      </c>
      <c r="F8" s="12">
        <v>0</v>
      </c>
      <c r="G8" s="150">
        <v>0</v>
      </c>
      <c r="H8" s="10">
        <v>0</v>
      </c>
      <c r="I8" s="11">
        <f>H8*E8</f>
        <v>0</v>
      </c>
      <c r="J8" s="77" t="str">
        <f t="shared" si="0"/>
        <v>-</v>
      </c>
      <c r="K8" s="88" t="str">
        <f t="shared" si="0"/>
        <v>-</v>
      </c>
      <c r="L8" s="85">
        <v>0</v>
      </c>
      <c r="M8" s="182">
        <v>0</v>
      </c>
      <c r="N8" s="185"/>
    </row>
    <row r="9" spans="1:14">
      <c r="A9" s="268"/>
      <c r="B9" s="259"/>
      <c r="C9" s="335"/>
      <c r="D9" s="22" t="s">
        <v>37</v>
      </c>
      <c r="E9" s="69">
        <v>420</v>
      </c>
      <c r="F9" s="12">
        <v>0</v>
      </c>
      <c r="G9" s="150">
        <f>F9*E9</f>
        <v>0</v>
      </c>
      <c r="H9" s="10">
        <v>0</v>
      </c>
      <c r="I9" s="11">
        <f>H9*E9</f>
        <v>0</v>
      </c>
      <c r="J9" s="77">
        <f t="shared" si="0"/>
        <v>-1</v>
      </c>
      <c r="K9" s="88">
        <f t="shared" si="0"/>
        <v>-1</v>
      </c>
      <c r="L9" s="85">
        <v>1</v>
      </c>
      <c r="M9" s="182">
        <v>430</v>
      </c>
      <c r="N9" s="185"/>
    </row>
    <row r="10" spans="1:14">
      <c r="A10" s="268"/>
      <c r="B10" s="259"/>
      <c r="C10" s="336"/>
      <c r="D10" s="337" t="s">
        <v>16</v>
      </c>
      <c r="E10" s="251"/>
      <c r="F10" s="65">
        <f>SUM(F7:F9)</f>
        <v>0</v>
      </c>
      <c r="G10" s="151">
        <f>SUM(G7:G9)</f>
        <v>0</v>
      </c>
      <c r="H10" s="164">
        <f>SUM(H7:H9)</f>
        <v>0</v>
      </c>
      <c r="I10" s="165">
        <f>SUM(I7:I9)</f>
        <v>0</v>
      </c>
      <c r="J10" s="78">
        <f t="shared" si="0"/>
        <v>-1</v>
      </c>
      <c r="K10" s="89">
        <f t="shared" si="0"/>
        <v>-1</v>
      </c>
      <c r="L10" s="65">
        <f>SUM(L7:L9)</f>
        <v>9</v>
      </c>
      <c r="M10" s="151">
        <f>SUM(M7:M9)</f>
        <v>2330</v>
      </c>
      <c r="N10" s="185"/>
    </row>
    <row r="11" spans="1:14">
      <c r="A11" s="268"/>
      <c r="B11" s="259"/>
      <c r="C11" s="338" t="s">
        <v>17</v>
      </c>
      <c r="D11" s="24" t="s">
        <v>18</v>
      </c>
      <c r="E11" s="70">
        <v>550</v>
      </c>
      <c r="F11" s="5">
        <v>0</v>
      </c>
      <c r="G11" s="6">
        <f>F11*E11</f>
        <v>0</v>
      </c>
      <c r="H11" s="7">
        <v>4</v>
      </c>
      <c r="I11" s="8">
        <f>H11*E11</f>
        <v>2200</v>
      </c>
      <c r="J11" s="9">
        <f t="shared" si="0"/>
        <v>-0.8</v>
      </c>
      <c r="K11" s="90">
        <f t="shared" si="0"/>
        <v>-0.79245283018867929</v>
      </c>
      <c r="L11" s="86">
        <v>20</v>
      </c>
      <c r="M11" s="183">
        <f>1060+9540</f>
        <v>10600</v>
      </c>
      <c r="N11" s="185"/>
    </row>
    <row r="12" spans="1:14">
      <c r="A12" s="268"/>
      <c r="B12" s="259"/>
      <c r="C12" s="335"/>
      <c r="D12" s="22" t="s">
        <v>19</v>
      </c>
      <c r="E12" s="69">
        <v>675</v>
      </c>
      <c r="F12" s="12">
        <v>0</v>
      </c>
      <c r="G12" s="150">
        <f>F12*E12</f>
        <v>0</v>
      </c>
      <c r="H12" s="10">
        <v>2</v>
      </c>
      <c r="I12" s="11">
        <f>H12*E12</f>
        <v>1350</v>
      </c>
      <c r="J12" s="77">
        <f t="shared" si="0"/>
        <v>-0.9285714285714286</v>
      </c>
      <c r="K12" s="88">
        <f t="shared" si="0"/>
        <v>-0.921875</v>
      </c>
      <c r="L12" s="85">
        <v>28</v>
      </c>
      <c r="M12" s="182">
        <f>9600+7680</f>
        <v>17280</v>
      </c>
      <c r="N12" s="185"/>
    </row>
    <row r="13" spans="1:14">
      <c r="A13" s="268"/>
      <c r="B13" s="259"/>
      <c r="C13" s="335"/>
      <c r="D13" s="22" t="s">
        <v>38</v>
      </c>
      <c r="E13" s="69">
        <v>810</v>
      </c>
      <c r="F13" s="12">
        <v>0</v>
      </c>
      <c r="G13" s="150">
        <f>F13*E13</f>
        <v>0</v>
      </c>
      <c r="H13" s="10">
        <v>2</v>
      </c>
      <c r="I13" s="11">
        <f>H13*E13</f>
        <v>1620</v>
      </c>
      <c r="J13" s="77" t="str">
        <f t="shared" si="0"/>
        <v>-</v>
      </c>
      <c r="K13" s="88" t="str">
        <f t="shared" si="0"/>
        <v>-</v>
      </c>
      <c r="L13" s="85">
        <v>0</v>
      </c>
      <c r="M13" s="182">
        <v>0</v>
      </c>
      <c r="N13" s="185"/>
    </row>
    <row r="14" spans="1:14">
      <c r="A14" s="268"/>
      <c r="B14" s="259"/>
      <c r="C14" s="335"/>
      <c r="D14" s="339" t="s">
        <v>16</v>
      </c>
      <c r="E14" s="340"/>
      <c r="F14" s="66">
        <f>SUM(F11:F13)</f>
        <v>0</v>
      </c>
      <c r="G14" s="152">
        <f>SUM(G11:G13)</f>
        <v>0</v>
      </c>
      <c r="H14" s="166">
        <f>SUM(H11:H13)</f>
        <v>8</v>
      </c>
      <c r="I14" s="167">
        <f>SUM(I11:I13)</f>
        <v>5170</v>
      </c>
      <c r="J14" s="79">
        <f t="shared" si="0"/>
        <v>-0.83333333333333337</v>
      </c>
      <c r="K14" s="91">
        <f t="shared" si="0"/>
        <v>-0.81456241032998566</v>
      </c>
      <c r="L14" s="66">
        <f>SUM(L11:L13)</f>
        <v>48</v>
      </c>
      <c r="M14" s="152">
        <f>SUM(M11:M13)</f>
        <v>27880</v>
      </c>
      <c r="N14" s="185"/>
    </row>
    <row r="15" spans="1:14">
      <c r="A15" s="268"/>
      <c r="B15" s="260"/>
      <c r="C15" s="358" t="s">
        <v>20</v>
      </c>
      <c r="D15" s="358"/>
      <c r="E15" s="359"/>
      <c r="F15" s="67">
        <f>SUM(F10,F14)</f>
        <v>0</v>
      </c>
      <c r="G15" s="153">
        <f>SUM(G10,G14)</f>
        <v>0</v>
      </c>
      <c r="H15" s="168">
        <f>H14+H10</f>
        <v>8</v>
      </c>
      <c r="I15" s="169">
        <f>I14+I10</f>
        <v>5170</v>
      </c>
      <c r="J15" s="80">
        <f t="shared" si="0"/>
        <v>-0.85964912280701755</v>
      </c>
      <c r="K15" s="92">
        <f t="shared" si="0"/>
        <v>-0.82886461436610392</v>
      </c>
      <c r="L15" s="67">
        <f>SUM(L10,L14)</f>
        <v>57</v>
      </c>
      <c r="M15" s="153">
        <f>SUM(M10,M14)</f>
        <v>30210</v>
      </c>
      <c r="N15" s="191"/>
    </row>
    <row r="16" spans="1:14">
      <c r="A16" s="268"/>
      <c r="B16" s="382" t="s">
        <v>21</v>
      </c>
      <c r="C16" s="338" t="s">
        <v>12</v>
      </c>
      <c r="D16" s="24" t="s">
        <v>13</v>
      </c>
      <c r="E16" s="70">
        <v>190</v>
      </c>
      <c r="F16" s="5">
        <v>0</v>
      </c>
      <c r="G16" s="6">
        <f>F16*E16</f>
        <v>0</v>
      </c>
      <c r="H16" s="7">
        <v>0</v>
      </c>
      <c r="I16" s="8">
        <f>H16*E16</f>
        <v>0</v>
      </c>
      <c r="J16" s="9">
        <f t="shared" si="0"/>
        <v>-1</v>
      </c>
      <c r="K16" s="90">
        <f t="shared" si="0"/>
        <v>-1</v>
      </c>
      <c r="L16" s="86">
        <v>5</v>
      </c>
      <c r="M16" s="183">
        <v>670</v>
      </c>
      <c r="N16" s="185" t="s">
        <v>22</v>
      </c>
    </row>
    <row r="17" spans="1:14">
      <c r="A17" s="268"/>
      <c r="B17" s="259"/>
      <c r="C17" s="335"/>
      <c r="D17" s="22" t="s">
        <v>15</v>
      </c>
      <c r="E17" s="69">
        <v>120</v>
      </c>
      <c r="F17" s="12">
        <v>0</v>
      </c>
      <c r="G17" s="150">
        <f>F17*E17</f>
        <v>0</v>
      </c>
      <c r="H17" s="10">
        <v>0</v>
      </c>
      <c r="I17" s="11">
        <f>H17*E17</f>
        <v>0</v>
      </c>
      <c r="J17" s="77">
        <f t="shared" si="0"/>
        <v>-1</v>
      </c>
      <c r="K17" s="88">
        <f t="shared" si="0"/>
        <v>-1</v>
      </c>
      <c r="L17" s="85">
        <v>3</v>
      </c>
      <c r="M17" s="182">
        <v>430</v>
      </c>
      <c r="N17" s="185"/>
    </row>
    <row r="18" spans="1:14">
      <c r="A18" s="268"/>
      <c r="B18" s="259"/>
      <c r="C18" s="335"/>
      <c r="D18" s="22" t="s">
        <v>37</v>
      </c>
      <c r="E18" s="69">
        <v>300</v>
      </c>
      <c r="F18" s="12">
        <v>0</v>
      </c>
      <c r="G18" s="150">
        <f>F18*E18</f>
        <v>0</v>
      </c>
      <c r="H18" s="10">
        <v>0</v>
      </c>
      <c r="I18" s="11">
        <f>H18*E18</f>
        <v>0</v>
      </c>
      <c r="J18" s="77" t="str">
        <f t="shared" si="0"/>
        <v>-</v>
      </c>
      <c r="K18" s="88" t="str">
        <f t="shared" si="0"/>
        <v>-</v>
      </c>
      <c r="L18" s="85">
        <v>0</v>
      </c>
      <c r="M18" s="182">
        <v>0</v>
      </c>
      <c r="N18" s="185" t="s">
        <v>23</v>
      </c>
    </row>
    <row r="19" spans="1:14">
      <c r="A19" s="268"/>
      <c r="B19" s="259"/>
      <c r="C19" s="336"/>
      <c r="D19" s="337" t="s">
        <v>16</v>
      </c>
      <c r="E19" s="251"/>
      <c r="F19" s="65">
        <f>SUM(F16:F18)</f>
        <v>0</v>
      </c>
      <c r="G19" s="151">
        <f>SUM(G16:G18)</f>
        <v>0</v>
      </c>
      <c r="H19" s="164">
        <f>SUM(H16:H18)</f>
        <v>0</v>
      </c>
      <c r="I19" s="165">
        <f>SUM(I16:I18)</f>
        <v>0</v>
      </c>
      <c r="J19" s="78">
        <f t="shared" si="0"/>
        <v>-1</v>
      </c>
      <c r="K19" s="89">
        <f t="shared" si="0"/>
        <v>-1</v>
      </c>
      <c r="L19" s="65">
        <f>SUM(L16:L18)</f>
        <v>8</v>
      </c>
      <c r="M19" s="151">
        <f>SUM(M16:M18)</f>
        <v>1100</v>
      </c>
      <c r="N19" s="185" t="s">
        <v>24</v>
      </c>
    </row>
    <row r="20" spans="1:14">
      <c r="A20" s="268"/>
      <c r="B20" s="259"/>
      <c r="C20" s="338" t="s">
        <v>17</v>
      </c>
      <c r="D20" s="24" t="s">
        <v>18</v>
      </c>
      <c r="E20" s="70">
        <v>440</v>
      </c>
      <c r="F20" s="5">
        <v>0</v>
      </c>
      <c r="G20" s="6">
        <f>F20*E20</f>
        <v>0</v>
      </c>
      <c r="H20" s="7">
        <v>0</v>
      </c>
      <c r="I20" s="8">
        <f>H20*E20</f>
        <v>0</v>
      </c>
      <c r="J20" s="9">
        <f t="shared" si="0"/>
        <v>-1</v>
      </c>
      <c r="K20" s="90">
        <f t="shared" si="0"/>
        <v>-1</v>
      </c>
      <c r="L20" s="86">
        <f>16+1</f>
        <v>17</v>
      </c>
      <c r="M20" s="183">
        <f>1320+5720+440</f>
        <v>7480</v>
      </c>
      <c r="N20" s="185" t="s">
        <v>25</v>
      </c>
    </row>
    <row r="21" spans="1:14">
      <c r="A21" s="268"/>
      <c r="B21" s="259"/>
      <c r="C21" s="335"/>
      <c r="D21" s="22" t="s">
        <v>19</v>
      </c>
      <c r="E21" s="69">
        <v>520</v>
      </c>
      <c r="F21" s="12">
        <v>0</v>
      </c>
      <c r="G21" s="150">
        <f>F21*E21</f>
        <v>0</v>
      </c>
      <c r="H21" s="10">
        <v>2</v>
      </c>
      <c r="I21" s="11">
        <f>H21*E21</f>
        <v>1040</v>
      </c>
      <c r="J21" s="77">
        <f t="shared" si="0"/>
        <v>-0.84615384615384615</v>
      </c>
      <c r="K21" s="88">
        <f t="shared" si="0"/>
        <v>-0.84615384615384615</v>
      </c>
      <c r="L21" s="85">
        <f>9+4</f>
        <v>13</v>
      </c>
      <c r="M21" s="182">
        <f>1560+3120+2080</f>
        <v>6760</v>
      </c>
      <c r="N21" s="185"/>
    </row>
    <row r="22" spans="1:14">
      <c r="A22" s="268"/>
      <c r="B22" s="259"/>
      <c r="C22" s="335"/>
      <c r="D22" s="22" t="s">
        <v>38</v>
      </c>
      <c r="E22" s="69">
        <v>600</v>
      </c>
      <c r="F22" s="12">
        <v>0</v>
      </c>
      <c r="G22" s="150">
        <f>F22*E22</f>
        <v>0</v>
      </c>
      <c r="H22" s="10">
        <v>0</v>
      </c>
      <c r="I22" s="11">
        <f>H22*E22</f>
        <v>0</v>
      </c>
      <c r="J22" s="77" t="str">
        <f t="shared" si="0"/>
        <v>-</v>
      </c>
      <c r="K22" s="88" t="str">
        <f t="shared" si="0"/>
        <v>-</v>
      </c>
      <c r="L22" s="85">
        <v>0</v>
      </c>
      <c r="M22" s="182">
        <v>0</v>
      </c>
      <c r="N22" s="185"/>
    </row>
    <row r="23" spans="1:14">
      <c r="A23" s="268"/>
      <c r="B23" s="259"/>
      <c r="C23" s="335"/>
      <c r="D23" s="339" t="s">
        <v>16</v>
      </c>
      <c r="E23" s="340"/>
      <c r="F23" s="66">
        <f>SUM(F20:F22)</f>
        <v>0</v>
      </c>
      <c r="G23" s="152">
        <f>SUM(G20:G22)</f>
        <v>0</v>
      </c>
      <c r="H23" s="166">
        <f>SUM(H20:H22)</f>
        <v>2</v>
      </c>
      <c r="I23" s="167">
        <f>SUM(I20:I22)</f>
        <v>1040</v>
      </c>
      <c r="J23" s="79">
        <f t="shared" si="0"/>
        <v>-0.93333333333333335</v>
      </c>
      <c r="K23" s="91">
        <f t="shared" si="0"/>
        <v>-0.9269662921348315</v>
      </c>
      <c r="L23" s="66">
        <f>SUM(L20:L22)</f>
        <v>30</v>
      </c>
      <c r="M23" s="152">
        <f>SUM(M20:M22)</f>
        <v>14240</v>
      </c>
      <c r="N23" s="185"/>
    </row>
    <row r="24" spans="1:14">
      <c r="A24" s="268"/>
      <c r="B24" s="260"/>
      <c r="C24" s="358" t="s">
        <v>20</v>
      </c>
      <c r="D24" s="358"/>
      <c r="E24" s="359"/>
      <c r="F24" s="67">
        <f>SUM(F19,F23)</f>
        <v>0</v>
      </c>
      <c r="G24" s="153">
        <f>SUM(G19,G23)</f>
        <v>0</v>
      </c>
      <c r="H24" s="168">
        <f>H23+H19</f>
        <v>2</v>
      </c>
      <c r="I24" s="169">
        <f>I23+I19</f>
        <v>1040</v>
      </c>
      <c r="J24" s="80">
        <f t="shared" si="0"/>
        <v>-0.94736842105263164</v>
      </c>
      <c r="K24" s="92">
        <f t="shared" si="0"/>
        <v>-0.93220338983050843</v>
      </c>
      <c r="L24" s="67">
        <f>SUM(L19,L23)</f>
        <v>38</v>
      </c>
      <c r="M24" s="153">
        <f>SUM(M19,M23)</f>
        <v>15340</v>
      </c>
      <c r="N24" s="191"/>
    </row>
    <row r="25" spans="1:14">
      <c r="A25" s="268"/>
      <c r="B25" s="382" t="s">
        <v>26</v>
      </c>
      <c r="C25" s="338" t="s">
        <v>12</v>
      </c>
      <c r="D25" s="24" t="s">
        <v>13</v>
      </c>
      <c r="E25" s="70">
        <v>190</v>
      </c>
      <c r="F25" s="5"/>
      <c r="G25" s="6">
        <f>F25*E25</f>
        <v>0</v>
      </c>
      <c r="H25" s="7">
        <v>1</v>
      </c>
      <c r="I25" s="8">
        <f>H25*E25</f>
        <v>190</v>
      </c>
      <c r="J25" s="9">
        <f t="shared" si="0"/>
        <v>-0.94736842105263164</v>
      </c>
      <c r="K25" s="90">
        <f t="shared" si="0"/>
        <v>-0.93470790378006874</v>
      </c>
      <c r="L25" s="86">
        <v>19</v>
      </c>
      <c r="M25" s="183">
        <v>2910</v>
      </c>
      <c r="N25" s="185" t="s">
        <v>22</v>
      </c>
    </row>
    <row r="26" spans="1:14">
      <c r="A26" s="268"/>
      <c r="B26" s="259"/>
      <c r="C26" s="335"/>
      <c r="D26" s="22" t="s">
        <v>15</v>
      </c>
      <c r="E26" s="69">
        <v>120</v>
      </c>
      <c r="F26" s="12"/>
      <c r="G26" s="150">
        <f>F26*E26</f>
        <v>0</v>
      </c>
      <c r="H26" s="10">
        <v>1</v>
      </c>
      <c r="I26" s="11">
        <f>H26*E26</f>
        <v>120</v>
      </c>
      <c r="J26" s="77" t="str">
        <f t="shared" si="0"/>
        <v>-</v>
      </c>
      <c r="K26" s="88" t="str">
        <f t="shared" si="0"/>
        <v>-</v>
      </c>
      <c r="L26" s="85">
        <v>0</v>
      </c>
      <c r="M26" s="182">
        <v>0</v>
      </c>
      <c r="N26" s="185"/>
    </row>
    <row r="27" spans="1:14">
      <c r="A27" s="268"/>
      <c r="B27" s="259"/>
      <c r="C27" s="335"/>
      <c r="D27" s="22" t="s">
        <v>37</v>
      </c>
      <c r="E27" s="69">
        <v>300</v>
      </c>
      <c r="F27" s="12">
        <v>0</v>
      </c>
      <c r="G27" s="150">
        <f>F27*E27</f>
        <v>0</v>
      </c>
      <c r="H27" s="10">
        <v>4</v>
      </c>
      <c r="I27" s="11">
        <f>H27*E27</f>
        <v>1200</v>
      </c>
      <c r="J27" s="77">
        <f t="shared" si="0"/>
        <v>-0.4285714285714286</v>
      </c>
      <c r="K27" s="88">
        <f t="shared" si="0"/>
        <v>-0.44700460829493083</v>
      </c>
      <c r="L27" s="85">
        <v>7</v>
      </c>
      <c r="M27" s="182">
        <v>2170</v>
      </c>
      <c r="N27" s="185" t="s">
        <v>27</v>
      </c>
    </row>
    <row r="28" spans="1:14">
      <c r="A28" s="268"/>
      <c r="B28" s="259"/>
      <c r="C28" s="336"/>
      <c r="D28" s="337" t="s">
        <v>16</v>
      </c>
      <c r="E28" s="251"/>
      <c r="F28" s="65">
        <f>SUM(F25:F27)</f>
        <v>0</v>
      </c>
      <c r="G28" s="151">
        <f>SUM(G25:G27)</f>
        <v>0</v>
      </c>
      <c r="H28" s="164">
        <f>SUM(H25:H27)</f>
        <v>6</v>
      </c>
      <c r="I28" s="165">
        <f>SUM(I25:I27)</f>
        <v>1510</v>
      </c>
      <c r="J28" s="78">
        <f t="shared" si="0"/>
        <v>-0.76923076923076916</v>
      </c>
      <c r="K28" s="89">
        <f t="shared" si="0"/>
        <v>-0.702755905511811</v>
      </c>
      <c r="L28" s="65">
        <f>SUM(L25:L27)</f>
        <v>26</v>
      </c>
      <c r="M28" s="151">
        <f>SUM(M25:M27)</f>
        <v>5080</v>
      </c>
      <c r="N28" s="185"/>
    </row>
    <row r="29" spans="1:14">
      <c r="A29" s="268"/>
      <c r="B29" s="259"/>
      <c r="C29" s="338" t="s">
        <v>17</v>
      </c>
      <c r="D29" s="24" t="s">
        <v>18</v>
      </c>
      <c r="E29" s="70">
        <v>440</v>
      </c>
      <c r="F29" s="5">
        <v>2</v>
      </c>
      <c r="G29" s="6">
        <f>F29*E29</f>
        <v>880</v>
      </c>
      <c r="H29" s="7">
        <v>12</v>
      </c>
      <c r="I29" s="8">
        <f>H29*E29</f>
        <v>5280</v>
      </c>
      <c r="J29" s="9">
        <f t="shared" si="0"/>
        <v>-0.77777777777777779</v>
      </c>
      <c r="K29" s="90">
        <f t="shared" si="0"/>
        <v>-0.77777777777777779</v>
      </c>
      <c r="L29" s="86">
        <v>54</v>
      </c>
      <c r="M29" s="183">
        <v>23760</v>
      </c>
      <c r="N29" s="185"/>
    </row>
    <row r="30" spans="1:14">
      <c r="A30" s="268"/>
      <c r="B30" s="259"/>
      <c r="C30" s="335"/>
      <c r="D30" s="22" t="s">
        <v>19</v>
      </c>
      <c r="E30" s="69">
        <v>520</v>
      </c>
      <c r="F30" s="12">
        <v>3</v>
      </c>
      <c r="G30" s="150">
        <f>F30*E30</f>
        <v>1560</v>
      </c>
      <c r="H30" s="10">
        <v>9</v>
      </c>
      <c r="I30" s="11">
        <f>H30*E30</f>
        <v>4680</v>
      </c>
      <c r="J30" s="77">
        <f t="shared" si="0"/>
        <v>-0.78048780487804881</v>
      </c>
      <c r="K30" s="88">
        <f t="shared" si="0"/>
        <v>-0.7857142857142857</v>
      </c>
      <c r="L30" s="85">
        <v>41</v>
      </c>
      <c r="M30" s="182">
        <v>21840</v>
      </c>
      <c r="N30" s="185"/>
    </row>
    <row r="31" spans="1:14">
      <c r="A31" s="268"/>
      <c r="B31" s="259"/>
      <c r="C31" s="335"/>
      <c r="D31" s="22" t="s">
        <v>38</v>
      </c>
      <c r="E31" s="69">
        <v>600</v>
      </c>
      <c r="F31" s="12">
        <v>0</v>
      </c>
      <c r="G31" s="150">
        <f>F31*E31</f>
        <v>0</v>
      </c>
      <c r="H31" s="10">
        <v>2</v>
      </c>
      <c r="I31" s="11">
        <f>H31*E31</f>
        <v>1200</v>
      </c>
      <c r="J31" s="77" t="str">
        <f t="shared" si="0"/>
        <v>-</v>
      </c>
      <c r="K31" s="88" t="str">
        <f t="shared" si="0"/>
        <v>-</v>
      </c>
      <c r="L31" s="85">
        <v>0</v>
      </c>
      <c r="M31" s="182">
        <v>0</v>
      </c>
      <c r="N31" s="185"/>
    </row>
    <row r="32" spans="1:14">
      <c r="A32" s="268"/>
      <c r="B32" s="259"/>
      <c r="C32" s="335"/>
      <c r="D32" s="339" t="s">
        <v>16</v>
      </c>
      <c r="E32" s="340"/>
      <c r="F32" s="66">
        <f>SUM(F29:F31)</f>
        <v>5</v>
      </c>
      <c r="G32" s="152">
        <f>SUM(G29:G31)</f>
        <v>2440</v>
      </c>
      <c r="H32" s="166">
        <f>SUM(H29:H31)</f>
        <v>23</v>
      </c>
      <c r="I32" s="167">
        <f>SUM(I29:I31)</f>
        <v>11160</v>
      </c>
      <c r="J32" s="79">
        <f t="shared" si="0"/>
        <v>-0.75789473684210529</v>
      </c>
      <c r="K32" s="91">
        <f t="shared" si="0"/>
        <v>-0.75526315789473686</v>
      </c>
      <c r="L32" s="66">
        <f>SUM(L29:L31)</f>
        <v>95</v>
      </c>
      <c r="M32" s="152">
        <f>SUM(M29:M31)</f>
        <v>45600</v>
      </c>
      <c r="N32" s="185"/>
    </row>
    <row r="33" spans="1:14">
      <c r="A33" s="269"/>
      <c r="B33" s="260"/>
      <c r="C33" s="358" t="s">
        <v>20</v>
      </c>
      <c r="D33" s="358"/>
      <c r="E33" s="359"/>
      <c r="F33" s="67">
        <f>SUM(F28,F32)</f>
        <v>5</v>
      </c>
      <c r="G33" s="153">
        <f>SUM(G28,G32)</f>
        <v>2440</v>
      </c>
      <c r="H33" s="168">
        <f>H32+H28</f>
        <v>29</v>
      </c>
      <c r="I33" s="169">
        <f>I32+I28</f>
        <v>12670</v>
      </c>
      <c r="J33" s="80">
        <f t="shared" si="0"/>
        <v>-0.76033057851239672</v>
      </c>
      <c r="K33" s="92">
        <f t="shared" si="0"/>
        <v>-0.75</v>
      </c>
      <c r="L33" s="67">
        <f>SUM(L28,L32)</f>
        <v>121</v>
      </c>
      <c r="M33" s="153">
        <f>SUM(M28,M32)</f>
        <v>50680</v>
      </c>
      <c r="N33" s="191"/>
    </row>
    <row r="34" spans="1:14">
      <c r="A34" s="348" t="s">
        <v>28</v>
      </c>
      <c r="B34" s="240"/>
      <c r="C34" s="240"/>
      <c r="D34" s="240"/>
      <c r="E34" s="241"/>
      <c r="F34" s="97">
        <f>F15+F24+F33</f>
        <v>5</v>
      </c>
      <c r="G34" s="158">
        <f>G15+G24+G33</f>
        <v>2440</v>
      </c>
      <c r="H34" s="173">
        <f>H15+H24+H33</f>
        <v>39</v>
      </c>
      <c r="I34" s="174">
        <f>I15+I24+I33</f>
        <v>18880</v>
      </c>
      <c r="J34" s="121">
        <f t="shared" si="0"/>
        <v>-0.81944444444444442</v>
      </c>
      <c r="K34" s="125">
        <f t="shared" si="0"/>
        <v>-0.80380338771692816</v>
      </c>
      <c r="L34" s="97">
        <f>L33+L24+L15</f>
        <v>216</v>
      </c>
      <c r="M34" s="158">
        <f>M33+M24+M15</f>
        <v>96230</v>
      </c>
      <c r="N34" s="185"/>
    </row>
    <row r="35" spans="1:14" ht="16.5" customHeight="1">
      <c r="A35" s="273" t="s">
        <v>46</v>
      </c>
      <c r="B35" s="383" t="s">
        <v>29</v>
      </c>
      <c r="C35" s="355" t="s">
        <v>30</v>
      </c>
      <c r="D35" s="46" t="s">
        <v>19</v>
      </c>
      <c r="E35" s="104">
        <v>990</v>
      </c>
      <c r="F35" s="98">
        <v>1</v>
      </c>
      <c r="G35" s="154">
        <f>F35*E35</f>
        <v>990</v>
      </c>
      <c r="H35" s="17">
        <v>10</v>
      </c>
      <c r="I35" s="18">
        <f>H35*E35</f>
        <v>9900</v>
      </c>
      <c r="J35" s="19">
        <f t="shared" si="0"/>
        <v>0</v>
      </c>
      <c r="K35" s="87">
        <f t="shared" si="0"/>
        <v>-0.3125</v>
      </c>
      <c r="L35" s="98">
        <v>10</v>
      </c>
      <c r="M35" s="154">
        <v>14400</v>
      </c>
      <c r="N35" s="186"/>
    </row>
    <row r="36" spans="1:14">
      <c r="A36" s="274"/>
      <c r="B36" s="384"/>
      <c r="C36" s="354"/>
      <c r="D36" s="386" t="s">
        <v>16</v>
      </c>
      <c r="E36" s="387"/>
      <c r="F36" s="99">
        <f>F35</f>
        <v>1</v>
      </c>
      <c r="G36" s="155">
        <f>G35</f>
        <v>990</v>
      </c>
      <c r="H36" s="170">
        <f>H35</f>
        <v>10</v>
      </c>
      <c r="I36" s="171">
        <f>I35</f>
        <v>9900</v>
      </c>
      <c r="J36" s="78">
        <f t="shared" si="0"/>
        <v>0</v>
      </c>
      <c r="K36" s="89">
        <f t="shared" si="0"/>
        <v>-0.3125</v>
      </c>
      <c r="L36" s="99">
        <f>SUM(L35)</f>
        <v>10</v>
      </c>
      <c r="M36" s="155">
        <f>SUM(M35)</f>
        <v>14400</v>
      </c>
      <c r="N36" s="186"/>
    </row>
    <row r="37" spans="1:14" hidden="1">
      <c r="A37" s="274"/>
      <c r="B37" s="385" t="s">
        <v>31</v>
      </c>
      <c r="C37" s="356" t="s">
        <v>32</v>
      </c>
      <c r="D37" s="45" t="s">
        <v>33</v>
      </c>
      <c r="E37" s="106">
        <v>50</v>
      </c>
      <c r="F37" s="100"/>
      <c r="G37" s="156"/>
      <c r="H37" s="21"/>
      <c r="I37" s="28"/>
      <c r="J37" s="9">
        <f t="shared" si="0"/>
        <v>-1</v>
      </c>
      <c r="K37" s="90">
        <f t="shared" si="0"/>
        <v>-1</v>
      </c>
      <c r="L37" s="100">
        <v>6</v>
      </c>
      <c r="M37" s="156">
        <v>300</v>
      </c>
      <c r="N37" s="186"/>
    </row>
    <row r="38" spans="1:14" hidden="1">
      <c r="A38" s="274"/>
      <c r="B38" s="316"/>
      <c r="C38" s="321"/>
      <c r="D38" s="40" t="s">
        <v>34</v>
      </c>
      <c r="E38" s="107">
        <v>100</v>
      </c>
      <c r="F38" s="101"/>
      <c r="G38" s="157"/>
      <c r="H38" s="20"/>
      <c r="I38" s="172"/>
      <c r="J38" s="77">
        <f t="shared" si="0"/>
        <v>-1</v>
      </c>
      <c r="K38" s="88">
        <f t="shared" si="0"/>
        <v>-1</v>
      </c>
      <c r="L38" s="101">
        <v>3</v>
      </c>
      <c r="M38" s="157">
        <v>300</v>
      </c>
      <c r="N38" s="186"/>
    </row>
    <row r="39" spans="1:14" hidden="1">
      <c r="A39" s="274"/>
      <c r="B39" s="316"/>
      <c r="C39" s="321"/>
      <c r="D39" s="40" t="s">
        <v>18</v>
      </c>
      <c r="E39" s="107">
        <v>150</v>
      </c>
      <c r="F39" s="101"/>
      <c r="G39" s="157"/>
      <c r="H39" s="20"/>
      <c r="I39" s="172"/>
      <c r="J39" s="77">
        <f t="shared" si="0"/>
        <v>-1</v>
      </c>
      <c r="K39" s="88">
        <f t="shared" si="0"/>
        <v>-1</v>
      </c>
      <c r="L39" s="101">
        <v>1</v>
      </c>
      <c r="M39" s="157">
        <v>150</v>
      </c>
      <c r="N39" s="186"/>
    </row>
    <row r="40" spans="1:14" hidden="1">
      <c r="A40" s="274"/>
      <c r="B40" s="316"/>
      <c r="C40" s="321"/>
      <c r="D40" s="40" t="s">
        <v>19</v>
      </c>
      <c r="E40" s="107">
        <v>200</v>
      </c>
      <c r="F40" s="101"/>
      <c r="G40" s="157"/>
      <c r="H40" s="20"/>
      <c r="I40" s="172"/>
      <c r="J40" s="77">
        <f t="shared" si="0"/>
        <v>-1</v>
      </c>
      <c r="K40" s="88">
        <f t="shared" si="0"/>
        <v>-1</v>
      </c>
      <c r="L40" s="101">
        <v>1</v>
      </c>
      <c r="M40" s="157">
        <v>200</v>
      </c>
      <c r="N40" s="186"/>
    </row>
    <row r="41" spans="1:14" hidden="1">
      <c r="A41" s="274"/>
      <c r="B41" s="316"/>
      <c r="C41" s="321"/>
      <c r="D41" s="40" t="s">
        <v>38</v>
      </c>
      <c r="E41" s="107">
        <v>250</v>
      </c>
      <c r="F41" s="101"/>
      <c r="G41" s="157"/>
      <c r="H41" s="20"/>
      <c r="I41" s="172"/>
      <c r="J41" s="77" t="str">
        <f t="shared" si="0"/>
        <v>-</v>
      </c>
      <c r="K41" s="88" t="str">
        <f t="shared" si="0"/>
        <v>-</v>
      </c>
      <c r="L41" s="101">
        <v>0</v>
      </c>
      <c r="M41" s="157">
        <v>0</v>
      </c>
      <c r="N41" s="186"/>
    </row>
    <row r="42" spans="1:14" hidden="1">
      <c r="A42" s="275"/>
      <c r="B42" s="352"/>
      <c r="C42" s="357"/>
      <c r="D42" s="60" t="s">
        <v>16</v>
      </c>
      <c r="E42" s="105">
        <v>0</v>
      </c>
      <c r="F42" s="99"/>
      <c r="G42" s="155"/>
      <c r="H42" s="170"/>
      <c r="I42" s="171"/>
      <c r="J42" s="78">
        <f t="shared" si="0"/>
        <v>-1</v>
      </c>
      <c r="K42" s="89">
        <f t="shared" si="0"/>
        <v>-1</v>
      </c>
      <c r="L42" s="99">
        <f>SUM(L37:L41)</f>
        <v>11</v>
      </c>
      <c r="M42" s="155">
        <f>SUM(M37:M41)</f>
        <v>950</v>
      </c>
      <c r="N42" s="192"/>
    </row>
    <row r="43" spans="1:14">
      <c r="A43" s="388" t="s">
        <v>47</v>
      </c>
      <c r="B43" s="388"/>
      <c r="C43" s="388"/>
      <c r="D43" s="388"/>
      <c r="E43" s="389"/>
      <c r="F43" s="97">
        <f>F42+F36</f>
        <v>1</v>
      </c>
      <c r="G43" s="158">
        <f>G42+G36</f>
        <v>990</v>
      </c>
      <c r="H43" s="173">
        <f>H42+H36</f>
        <v>10</v>
      </c>
      <c r="I43" s="174">
        <f>I42+I36</f>
        <v>9900</v>
      </c>
      <c r="J43" s="121">
        <f t="shared" si="0"/>
        <v>-0.52380952380952384</v>
      </c>
      <c r="K43" s="125">
        <f t="shared" si="0"/>
        <v>-0.35504885993485347</v>
      </c>
      <c r="L43" s="97">
        <f>L42+L36</f>
        <v>21</v>
      </c>
      <c r="M43" s="158">
        <f>M42+M36</f>
        <v>15350</v>
      </c>
      <c r="N43" s="186"/>
    </row>
    <row r="44" spans="1:14" hidden="1">
      <c r="A44" s="378" t="s">
        <v>48</v>
      </c>
      <c r="B44" s="380" t="s">
        <v>11</v>
      </c>
      <c r="C44" s="381" t="s">
        <v>12</v>
      </c>
      <c r="D44" s="23" t="s">
        <v>13</v>
      </c>
      <c r="E44" s="68">
        <v>275</v>
      </c>
      <c r="F44" s="13">
        <v>0</v>
      </c>
      <c r="G44" s="14">
        <f>F44*E44</f>
        <v>0</v>
      </c>
      <c r="H44" s="15">
        <f>F44</f>
        <v>0</v>
      </c>
      <c r="I44" s="16">
        <f>H44*E44</f>
        <v>0</v>
      </c>
      <c r="J44" s="19">
        <f t="shared" ref="J44:K82" si="1">IFERROR(H44/L44-1,"-")</f>
        <v>-1</v>
      </c>
      <c r="K44" s="87">
        <f t="shared" si="1"/>
        <v>-1</v>
      </c>
      <c r="L44" s="84">
        <v>3</v>
      </c>
      <c r="M44" s="181">
        <v>650</v>
      </c>
      <c r="N44" s="187"/>
    </row>
    <row r="45" spans="1:14" hidden="1">
      <c r="A45" s="305"/>
      <c r="B45" s="307"/>
      <c r="C45" s="308"/>
      <c r="D45" s="22" t="s">
        <v>15</v>
      </c>
      <c r="E45" s="69">
        <v>180</v>
      </c>
      <c r="F45" s="12"/>
      <c r="G45" s="150"/>
      <c r="H45" s="10">
        <v>0</v>
      </c>
      <c r="I45" s="11">
        <f>H45*E45</f>
        <v>0</v>
      </c>
      <c r="J45" s="77" t="str">
        <f t="shared" si="1"/>
        <v>-</v>
      </c>
      <c r="K45" s="88" t="str">
        <f t="shared" si="1"/>
        <v>-</v>
      </c>
      <c r="L45" s="85">
        <v>0</v>
      </c>
      <c r="M45" s="182">
        <v>0</v>
      </c>
      <c r="N45" s="187"/>
    </row>
    <row r="46" spans="1:14" hidden="1">
      <c r="A46" s="305"/>
      <c r="B46" s="307"/>
      <c r="C46" s="308"/>
      <c r="D46" s="22" t="s">
        <v>37</v>
      </c>
      <c r="E46" s="69">
        <v>420</v>
      </c>
      <c r="F46" s="12">
        <v>0</v>
      </c>
      <c r="G46" s="150">
        <f>F46*E46</f>
        <v>0</v>
      </c>
      <c r="H46" s="10">
        <v>0</v>
      </c>
      <c r="I46" s="11">
        <f>H46*E46</f>
        <v>0</v>
      </c>
      <c r="J46" s="77" t="str">
        <f t="shared" si="1"/>
        <v>-</v>
      </c>
      <c r="K46" s="88" t="str">
        <f t="shared" si="1"/>
        <v>-</v>
      </c>
      <c r="L46" s="85">
        <v>0</v>
      </c>
      <c r="M46" s="182">
        <v>0</v>
      </c>
      <c r="N46" s="186"/>
    </row>
    <row r="47" spans="1:14" hidden="1">
      <c r="A47" s="305"/>
      <c r="B47" s="307"/>
      <c r="C47" s="347"/>
      <c r="D47" s="337" t="s">
        <v>16</v>
      </c>
      <c r="E47" s="251"/>
      <c r="F47" s="65">
        <f>SUM(F44:F46)</f>
        <v>0</v>
      </c>
      <c r="G47" s="151">
        <f>SUM(G44:G46)</f>
        <v>0</v>
      </c>
      <c r="H47" s="164">
        <f>SUM(H44:H46)</f>
        <v>0</v>
      </c>
      <c r="I47" s="165">
        <f>SUM(I44:I46)</f>
        <v>0</v>
      </c>
      <c r="J47" s="78">
        <f t="shared" si="1"/>
        <v>-1</v>
      </c>
      <c r="K47" s="89">
        <f t="shared" si="1"/>
        <v>-1</v>
      </c>
      <c r="L47" s="65">
        <f>SUM(L44:L46)</f>
        <v>3</v>
      </c>
      <c r="M47" s="151">
        <f>SUM(M44:M46)</f>
        <v>650</v>
      </c>
      <c r="N47" s="186"/>
    </row>
    <row r="48" spans="1:14" hidden="1">
      <c r="A48" s="305"/>
      <c r="B48" s="307"/>
      <c r="C48" s="346" t="s">
        <v>17</v>
      </c>
      <c r="D48" s="24" t="s">
        <v>18</v>
      </c>
      <c r="E48" s="70">
        <v>550</v>
      </c>
      <c r="F48" s="5"/>
      <c r="G48" s="6">
        <f>F48*E48</f>
        <v>0</v>
      </c>
      <c r="H48" s="7"/>
      <c r="I48" s="8">
        <f>H48*E48</f>
        <v>0</v>
      </c>
      <c r="J48" s="9">
        <f t="shared" si="1"/>
        <v>-1</v>
      </c>
      <c r="K48" s="90">
        <f t="shared" si="1"/>
        <v>-1</v>
      </c>
      <c r="L48" s="86">
        <v>1</v>
      </c>
      <c r="M48" s="183">
        <v>720</v>
      </c>
      <c r="N48" s="186"/>
    </row>
    <row r="49" spans="1:14" hidden="1">
      <c r="A49" s="305"/>
      <c r="B49" s="307"/>
      <c r="C49" s="308"/>
      <c r="D49" s="22" t="s">
        <v>19</v>
      </c>
      <c r="E49" s="69">
        <v>675</v>
      </c>
      <c r="F49" s="12"/>
      <c r="G49" s="150"/>
      <c r="H49" s="10">
        <v>0</v>
      </c>
      <c r="I49" s="11">
        <f>H49*E49</f>
        <v>0</v>
      </c>
      <c r="J49" s="77">
        <f t="shared" si="1"/>
        <v>-1</v>
      </c>
      <c r="K49" s="88">
        <f t="shared" si="1"/>
        <v>-1</v>
      </c>
      <c r="L49" s="85">
        <v>1</v>
      </c>
      <c r="M49" s="182">
        <v>880</v>
      </c>
      <c r="N49" s="186"/>
    </row>
    <row r="50" spans="1:14" hidden="1">
      <c r="A50" s="305"/>
      <c r="B50" s="307"/>
      <c r="C50" s="308"/>
      <c r="D50" s="22" t="s">
        <v>38</v>
      </c>
      <c r="E50" s="69">
        <v>810</v>
      </c>
      <c r="F50" s="12">
        <v>0</v>
      </c>
      <c r="G50" s="150">
        <f>F50*E50</f>
        <v>0</v>
      </c>
      <c r="H50" s="10">
        <v>0</v>
      </c>
      <c r="I50" s="11">
        <f>H50*E50</f>
        <v>0</v>
      </c>
      <c r="J50" s="77" t="str">
        <f t="shared" si="1"/>
        <v>-</v>
      </c>
      <c r="K50" s="88" t="str">
        <f t="shared" si="1"/>
        <v>-</v>
      </c>
      <c r="L50" s="85">
        <v>0</v>
      </c>
      <c r="M50" s="182">
        <v>0</v>
      </c>
      <c r="N50" s="186"/>
    </row>
    <row r="51" spans="1:14" hidden="1">
      <c r="A51" s="305"/>
      <c r="B51" s="307"/>
      <c r="C51" s="347"/>
      <c r="D51" s="337" t="s">
        <v>16</v>
      </c>
      <c r="E51" s="251"/>
      <c r="F51" s="65">
        <f>SUM(F48:F50)</f>
        <v>0</v>
      </c>
      <c r="G51" s="151">
        <f>SUM(G48:G50)</f>
        <v>0</v>
      </c>
      <c r="H51" s="164">
        <f>SUM(H48:H50)</f>
        <v>0</v>
      </c>
      <c r="I51" s="165">
        <f>SUM(I48:I50)</f>
        <v>0</v>
      </c>
      <c r="J51" s="78">
        <f t="shared" si="1"/>
        <v>-1</v>
      </c>
      <c r="K51" s="89">
        <f t="shared" si="1"/>
        <v>-1</v>
      </c>
      <c r="L51" s="65">
        <f>SUM(L48:L50)</f>
        <v>2</v>
      </c>
      <c r="M51" s="151">
        <f>SUM(M48:M50)</f>
        <v>1600</v>
      </c>
      <c r="N51" s="186"/>
    </row>
    <row r="52" spans="1:14" hidden="1">
      <c r="A52" s="305"/>
      <c r="B52" s="345"/>
      <c r="C52" s="368" t="s">
        <v>20</v>
      </c>
      <c r="D52" s="369"/>
      <c r="E52" s="370"/>
      <c r="F52" s="102">
        <f>SUM(F47,F51)</f>
        <v>0</v>
      </c>
      <c r="G52" s="159">
        <f>SUM(G47,G51)</f>
        <v>0</v>
      </c>
      <c r="H52" s="175">
        <f>H51+H47</f>
        <v>0</v>
      </c>
      <c r="I52" s="176">
        <f>I51+I47</f>
        <v>0</v>
      </c>
      <c r="J52" s="122">
        <f t="shared" si="1"/>
        <v>-1</v>
      </c>
      <c r="K52" s="126">
        <f t="shared" si="1"/>
        <v>-1</v>
      </c>
      <c r="L52" s="102">
        <f>L51+L47</f>
        <v>5</v>
      </c>
      <c r="M52" s="159">
        <f>M51+M47</f>
        <v>2250</v>
      </c>
      <c r="N52" s="186"/>
    </row>
    <row r="53" spans="1:14" hidden="1">
      <c r="A53" s="305"/>
      <c r="B53" s="344" t="s">
        <v>21</v>
      </c>
      <c r="C53" s="346" t="s">
        <v>12</v>
      </c>
      <c r="D53" s="24" t="s">
        <v>13</v>
      </c>
      <c r="E53" s="70">
        <v>190</v>
      </c>
      <c r="F53" s="5">
        <v>0</v>
      </c>
      <c r="G53" s="6">
        <f>F53*E53</f>
        <v>0</v>
      </c>
      <c r="H53" s="7">
        <v>0</v>
      </c>
      <c r="I53" s="8">
        <f>H53*E53</f>
        <v>0</v>
      </c>
      <c r="J53" s="9" t="str">
        <f t="shared" si="1"/>
        <v>-</v>
      </c>
      <c r="K53" s="90" t="str">
        <f t="shared" si="1"/>
        <v>-</v>
      </c>
      <c r="L53" s="86">
        <v>0</v>
      </c>
      <c r="M53" s="183">
        <v>0</v>
      </c>
      <c r="N53" s="188"/>
    </row>
    <row r="54" spans="1:14" hidden="1">
      <c r="A54" s="305"/>
      <c r="B54" s="307"/>
      <c r="C54" s="308"/>
      <c r="D54" s="22" t="s">
        <v>15</v>
      </c>
      <c r="E54" s="69">
        <v>120</v>
      </c>
      <c r="F54" s="12"/>
      <c r="G54" s="150"/>
      <c r="H54" s="10">
        <v>0</v>
      </c>
      <c r="I54" s="11">
        <f>H54*E54</f>
        <v>0</v>
      </c>
      <c r="J54" s="77" t="str">
        <f t="shared" si="1"/>
        <v>-</v>
      </c>
      <c r="K54" s="88" t="str">
        <f t="shared" si="1"/>
        <v>-</v>
      </c>
      <c r="L54" s="85">
        <v>0</v>
      </c>
      <c r="M54" s="182">
        <v>0</v>
      </c>
      <c r="N54" s="188"/>
    </row>
    <row r="55" spans="1:14" hidden="1">
      <c r="A55" s="305"/>
      <c r="B55" s="307"/>
      <c r="C55" s="308"/>
      <c r="D55" s="22" t="s">
        <v>37</v>
      </c>
      <c r="E55" s="69">
        <v>300</v>
      </c>
      <c r="F55" s="12">
        <v>0</v>
      </c>
      <c r="G55" s="150">
        <f>F55*E55</f>
        <v>0</v>
      </c>
      <c r="H55" s="10">
        <v>0</v>
      </c>
      <c r="I55" s="11">
        <f>H55*E55</f>
        <v>0</v>
      </c>
      <c r="J55" s="77" t="str">
        <f t="shared" si="1"/>
        <v>-</v>
      </c>
      <c r="K55" s="88" t="str">
        <f t="shared" si="1"/>
        <v>-</v>
      </c>
      <c r="L55" s="85">
        <v>0</v>
      </c>
      <c r="M55" s="182">
        <v>0</v>
      </c>
      <c r="N55" s="188"/>
    </row>
    <row r="56" spans="1:14" hidden="1">
      <c r="A56" s="305"/>
      <c r="B56" s="307"/>
      <c r="C56" s="347"/>
      <c r="D56" s="337" t="s">
        <v>16</v>
      </c>
      <c r="E56" s="251"/>
      <c r="F56" s="65">
        <f>SUM(F53:F55)</f>
        <v>0</v>
      </c>
      <c r="G56" s="151">
        <f>SUM(G53:G55)</f>
        <v>0</v>
      </c>
      <c r="H56" s="164">
        <f>SUM(H53:H55)</f>
        <v>0</v>
      </c>
      <c r="I56" s="165">
        <f>SUM(I53:I55)</f>
        <v>0</v>
      </c>
      <c r="J56" s="78" t="str">
        <f t="shared" si="1"/>
        <v>-</v>
      </c>
      <c r="K56" s="89" t="str">
        <f t="shared" si="1"/>
        <v>-</v>
      </c>
      <c r="L56" s="65">
        <f>SUM(L53:L55)</f>
        <v>0</v>
      </c>
      <c r="M56" s="151">
        <f>SUM(M53:M55)</f>
        <v>0</v>
      </c>
      <c r="N56" s="188"/>
    </row>
    <row r="57" spans="1:14" hidden="1">
      <c r="A57" s="305"/>
      <c r="B57" s="307"/>
      <c r="C57" s="346" t="s">
        <v>17</v>
      </c>
      <c r="D57" s="24" t="s">
        <v>18</v>
      </c>
      <c r="E57" s="70">
        <v>440</v>
      </c>
      <c r="F57" s="5">
        <v>0</v>
      </c>
      <c r="G57" s="6">
        <f>F57*E57</f>
        <v>0</v>
      </c>
      <c r="H57" s="7">
        <v>0</v>
      </c>
      <c r="I57" s="8">
        <f>H57*E57</f>
        <v>0</v>
      </c>
      <c r="J57" s="9" t="str">
        <f t="shared" si="1"/>
        <v>-</v>
      </c>
      <c r="K57" s="90" t="str">
        <f t="shared" si="1"/>
        <v>-</v>
      </c>
      <c r="L57" s="86">
        <v>0</v>
      </c>
      <c r="M57" s="183">
        <v>0</v>
      </c>
      <c r="N57" s="188"/>
    </row>
    <row r="58" spans="1:14" hidden="1">
      <c r="A58" s="305"/>
      <c r="B58" s="307"/>
      <c r="C58" s="308"/>
      <c r="D58" s="22" t="s">
        <v>19</v>
      </c>
      <c r="E58" s="69">
        <v>520</v>
      </c>
      <c r="F58" s="12">
        <v>0</v>
      </c>
      <c r="G58" s="150">
        <v>0</v>
      </c>
      <c r="H58" s="10">
        <v>0</v>
      </c>
      <c r="I58" s="11">
        <f>H58*E58</f>
        <v>0</v>
      </c>
      <c r="J58" s="77" t="str">
        <f t="shared" si="1"/>
        <v>-</v>
      </c>
      <c r="K58" s="88" t="str">
        <f t="shared" si="1"/>
        <v>-</v>
      </c>
      <c r="L58" s="85">
        <v>0</v>
      </c>
      <c r="M58" s="182">
        <v>0</v>
      </c>
      <c r="N58" s="188"/>
    </row>
    <row r="59" spans="1:14" hidden="1">
      <c r="A59" s="305"/>
      <c r="B59" s="307"/>
      <c r="C59" s="308"/>
      <c r="D59" s="22" t="s">
        <v>38</v>
      </c>
      <c r="E59" s="69">
        <v>600</v>
      </c>
      <c r="F59" s="12">
        <v>0</v>
      </c>
      <c r="G59" s="150">
        <f>F59*E59</f>
        <v>0</v>
      </c>
      <c r="H59" s="10">
        <v>0</v>
      </c>
      <c r="I59" s="11">
        <f>H59*E59</f>
        <v>0</v>
      </c>
      <c r="J59" s="77" t="str">
        <f t="shared" si="1"/>
        <v>-</v>
      </c>
      <c r="K59" s="88" t="str">
        <f t="shared" si="1"/>
        <v>-</v>
      </c>
      <c r="L59" s="85">
        <v>0</v>
      </c>
      <c r="M59" s="182">
        <v>0</v>
      </c>
      <c r="N59" s="188"/>
    </row>
    <row r="60" spans="1:14" hidden="1">
      <c r="A60" s="305"/>
      <c r="B60" s="307"/>
      <c r="C60" s="347"/>
      <c r="D60" s="337" t="s">
        <v>16</v>
      </c>
      <c r="E60" s="251"/>
      <c r="F60" s="65">
        <f>SUM(F57:F59)</f>
        <v>0</v>
      </c>
      <c r="G60" s="151">
        <f>SUM(G57:G59)</f>
        <v>0</v>
      </c>
      <c r="H60" s="164">
        <f>SUM(H57:H59)</f>
        <v>0</v>
      </c>
      <c r="I60" s="165">
        <f>SUM(I57:I59)</f>
        <v>0</v>
      </c>
      <c r="J60" s="78" t="str">
        <f t="shared" si="1"/>
        <v>-</v>
      </c>
      <c r="K60" s="89" t="str">
        <f t="shared" si="1"/>
        <v>-</v>
      </c>
      <c r="L60" s="65">
        <f>SUM(L57:L59)</f>
        <v>0</v>
      </c>
      <c r="M60" s="151">
        <f>SUM(M57:M59)</f>
        <v>0</v>
      </c>
      <c r="N60" s="188"/>
    </row>
    <row r="61" spans="1:14" hidden="1">
      <c r="A61" s="305"/>
      <c r="B61" s="345"/>
      <c r="C61" s="368" t="s">
        <v>20</v>
      </c>
      <c r="D61" s="369"/>
      <c r="E61" s="370"/>
      <c r="F61" s="102">
        <f>SUM(F56,F60)</f>
        <v>0</v>
      </c>
      <c r="G61" s="159">
        <f>SUM(G56,G60)</f>
        <v>0</v>
      </c>
      <c r="H61" s="175">
        <f>H60+H56</f>
        <v>0</v>
      </c>
      <c r="I61" s="176">
        <f>I60+I56</f>
        <v>0</v>
      </c>
      <c r="J61" s="122" t="str">
        <f t="shared" si="1"/>
        <v>-</v>
      </c>
      <c r="K61" s="126" t="str">
        <f t="shared" si="1"/>
        <v>-</v>
      </c>
      <c r="L61" s="102">
        <f>SUM(L56,L60)</f>
        <v>0</v>
      </c>
      <c r="M61" s="159">
        <f>SUM(M56,M60)</f>
        <v>0</v>
      </c>
      <c r="N61" s="188"/>
    </row>
    <row r="62" spans="1:14" hidden="1">
      <c r="A62" s="305"/>
      <c r="B62" s="344" t="s">
        <v>26</v>
      </c>
      <c r="C62" s="346" t="s">
        <v>12</v>
      </c>
      <c r="D62" s="24" t="s">
        <v>13</v>
      </c>
      <c r="E62" s="70">
        <v>190</v>
      </c>
      <c r="F62" s="5">
        <v>0</v>
      </c>
      <c r="G62" s="6">
        <f>F62*E62</f>
        <v>0</v>
      </c>
      <c r="H62" s="7">
        <v>0</v>
      </c>
      <c r="I62" s="8">
        <f>H62*E62</f>
        <v>0</v>
      </c>
      <c r="J62" s="9">
        <f t="shared" si="1"/>
        <v>-1</v>
      </c>
      <c r="K62" s="90">
        <f t="shared" si="1"/>
        <v>-1</v>
      </c>
      <c r="L62" s="86">
        <v>5</v>
      </c>
      <c r="M62" s="183">
        <v>1020</v>
      </c>
      <c r="N62" s="188"/>
    </row>
    <row r="63" spans="1:14" hidden="1">
      <c r="A63" s="305"/>
      <c r="B63" s="307"/>
      <c r="C63" s="308"/>
      <c r="D63" s="22" t="s">
        <v>15</v>
      </c>
      <c r="E63" s="69">
        <v>120</v>
      </c>
      <c r="F63" s="12">
        <v>0</v>
      </c>
      <c r="G63" s="150">
        <v>0</v>
      </c>
      <c r="H63" s="10">
        <v>0</v>
      </c>
      <c r="I63" s="11">
        <f>H63*E63</f>
        <v>0</v>
      </c>
      <c r="J63" s="77" t="str">
        <f t="shared" si="1"/>
        <v>-</v>
      </c>
      <c r="K63" s="88" t="str">
        <f t="shared" si="1"/>
        <v>-</v>
      </c>
      <c r="L63" s="85">
        <v>0</v>
      </c>
      <c r="M63" s="182">
        <v>0</v>
      </c>
      <c r="N63" s="188"/>
    </row>
    <row r="64" spans="1:14" hidden="1">
      <c r="A64" s="305"/>
      <c r="B64" s="307"/>
      <c r="C64" s="308"/>
      <c r="D64" s="22" t="s">
        <v>37</v>
      </c>
      <c r="E64" s="69">
        <v>300</v>
      </c>
      <c r="F64" s="12">
        <v>0</v>
      </c>
      <c r="G64" s="150">
        <f>F64*E64</f>
        <v>0</v>
      </c>
      <c r="H64" s="10">
        <v>0</v>
      </c>
      <c r="I64" s="11">
        <f>H64*E64</f>
        <v>0</v>
      </c>
      <c r="J64" s="77">
        <f t="shared" si="1"/>
        <v>-1</v>
      </c>
      <c r="K64" s="88">
        <f t="shared" si="1"/>
        <v>-1</v>
      </c>
      <c r="L64" s="85">
        <v>5</v>
      </c>
      <c r="M64" s="182">
        <v>1800</v>
      </c>
      <c r="N64" s="188"/>
    </row>
    <row r="65" spans="1:14" hidden="1">
      <c r="A65" s="305"/>
      <c r="B65" s="307"/>
      <c r="C65" s="347"/>
      <c r="D65" s="337" t="s">
        <v>16</v>
      </c>
      <c r="E65" s="251"/>
      <c r="F65" s="65">
        <f>SUM(F62:F64)</f>
        <v>0</v>
      </c>
      <c r="G65" s="151">
        <f>SUM(G62:G64)</f>
        <v>0</v>
      </c>
      <c r="H65" s="164">
        <f>SUM(H62:H64)</f>
        <v>0</v>
      </c>
      <c r="I65" s="165">
        <f>SUM(I62:I64)</f>
        <v>0</v>
      </c>
      <c r="J65" s="78">
        <f t="shared" si="1"/>
        <v>-1</v>
      </c>
      <c r="K65" s="89">
        <f t="shared" si="1"/>
        <v>-1</v>
      </c>
      <c r="L65" s="65">
        <f>SUM(L62:L64)</f>
        <v>10</v>
      </c>
      <c r="M65" s="151">
        <f>SUM(M62:M64)</f>
        <v>2820</v>
      </c>
      <c r="N65" s="188"/>
    </row>
    <row r="66" spans="1:14" hidden="1">
      <c r="A66" s="305"/>
      <c r="B66" s="307"/>
      <c r="C66" s="346" t="s">
        <v>17</v>
      </c>
      <c r="D66" s="24" t="s">
        <v>18</v>
      </c>
      <c r="E66" s="70">
        <v>440</v>
      </c>
      <c r="F66" s="5">
        <v>0</v>
      </c>
      <c r="G66" s="6">
        <f>F66*E66</f>
        <v>0</v>
      </c>
      <c r="H66" s="7">
        <v>0</v>
      </c>
      <c r="I66" s="8">
        <f>H66*E66</f>
        <v>0</v>
      </c>
      <c r="J66" s="9">
        <f t="shared" si="1"/>
        <v>-1</v>
      </c>
      <c r="K66" s="90">
        <f t="shared" si="1"/>
        <v>-1</v>
      </c>
      <c r="L66" s="86">
        <v>3</v>
      </c>
      <c r="M66" s="183">
        <v>1770</v>
      </c>
      <c r="N66" s="188"/>
    </row>
    <row r="67" spans="1:14" hidden="1">
      <c r="A67" s="305"/>
      <c r="B67" s="307"/>
      <c r="C67" s="308"/>
      <c r="D67" s="22" t="s">
        <v>19</v>
      </c>
      <c r="E67" s="69">
        <v>520</v>
      </c>
      <c r="F67" s="12">
        <v>0</v>
      </c>
      <c r="G67" s="150">
        <v>0</v>
      </c>
      <c r="H67" s="10">
        <v>0</v>
      </c>
      <c r="I67" s="11">
        <f>H67*E67</f>
        <v>0</v>
      </c>
      <c r="J67" s="77">
        <f t="shared" si="1"/>
        <v>-1</v>
      </c>
      <c r="K67" s="88">
        <f t="shared" si="1"/>
        <v>-1</v>
      </c>
      <c r="L67" s="85">
        <v>3</v>
      </c>
      <c r="M67" s="182">
        <v>2160</v>
      </c>
      <c r="N67" s="188"/>
    </row>
    <row r="68" spans="1:14" hidden="1">
      <c r="A68" s="305"/>
      <c r="B68" s="307"/>
      <c r="C68" s="308"/>
      <c r="D68" s="22" t="s">
        <v>38</v>
      </c>
      <c r="E68" s="69">
        <v>600</v>
      </c>
      <c r="F68" s="12">
        <v>0</v>
      </c>
      <c r="G68" s="150">
        <f>F68*E68</f>
        <v>0</v>
      </c>
      <c r="H68" s="10">
        <v>0</v>
      </c>
      <c r="I68" s="11">
        <f>H68*E68</f>
        <v>0</v>
      </c>
      <c r="J68" s="77" t="str">
        <f t="shared" si="1"/>
        <v>-</v>
      </c>
      <c r="K68" s="88" t="str">
        <f t="shared" si="1"/>
        <v>-</v>
      </c>
      <c r="L68" s="85">
        <v>0</v>
      </c>
      <c r="M68" s="182">
        <v>0</v>
      </c>
      <c r="N68" s="188"/>
    </row>
    <row r="69" spans="1:14" hidden="1">
      <c r="A69" s="305"/>
      <c r="B69" s="307"/>
      <c r="C69" s="347"/>
      <c r="D69" s="337" t="s">
        <v>16</v>
      </c>
      <c r="E69" s="251"/>
      <c r="F69" s="65">
        <f>SUM(F66:F68)</f>
        <v>0</v>
      </c>
      <c r="G69" s="151">
        <f>SUM(G66:G68)</f>
        <v>0</v>
      </c>
      <c r="H69" s="164">
        <f>SUM(H66:H68)</f>
        <v>0</v>
      </c>
      <c r="I69" s="165">
        <f>SUM(I66:I68)</f>
        <v>0</v>
      </c>
      <c r="J69" s="78">
        <f t="shared" si="1"/>
        <v>-1</v>
      </c>
      <c r="K69" s="89">
        <f t="shared" si="1"/>
        <v>-1</v>
      </c>
      <c r="L69" s="65">
        <f>SUM(L66:L68)</f>
        <v>6</v>
      </c>
      <c r="M69" s="151">
        <f>SUM(M66:M68)</f>
        <v>3930</v>
      </c>
      <c r="N69" s="188"/>
    </row>
    <row r="70" spans="1:14" hidden="1">
      <c r="A70" s="379"/>
      <c r="B70" s="345"/>
      <c r="C70" s="368" t="s">
        <v>20</v>
      </c>
      <c r="D70" s="369"/>
      <c r="E70" s="370"/>
      <c r="F70" s="102">
        <f>SUM(F65,F69)</f>
        <v>0</v>
      </c>
      <c r="G70" s="159">
        <f>SUM(G65,G69)</f>
        <v>0</v>
      </c>
      <c r="H70" s="175">
        <f>H69+H65</f>
        <v>0</v>
      </c>
      <c r="I70" s="176">
        <f>I69+I65</f>
        <v>0</v>
      </c>
      <c r="J70" s="122">
        <f t="shared" si="1"/>
        <v>-1</v>
      </c>
      <c r="K70" s="126">
        <f t="shared" si="1"/>
        <v>-1</v>
      </c>
      <c r="L70" s="102">
        <f>L69+L65</f>
        <v>16</v>
      </c>
      <c r="M70" s="159">
        <f>M69+M65</f>
        <v>6750</v>
      </c>
      <c r="N70" s="188"/>
    </row>
    <row r="71" spans="1:14" hidden="1">
      <c r="A71" s="239" t="s">
        <v>49</v>
      </c>
      <c r="B71" s="240"/>
      <c r="C71" s="240"/>
      <c r="D71" s="240"/>
      <c r="E71" s="241"/>
      <c r="F71" s="97">
        <f>F70+F61+F52</f>
        <v>0</v>
      </c>
      <c r="G71" s="158">
        <f>G70+G61+G52</f>
        <v>0</v>
      </c>
      <c r="H71" s="173">
        <f>H70+H61+H52</f>
        <v>0</v>
      </c>
      <c r="I71" s="174">
        <f>I70+I61+I52</f>
        <v>0</v>
      </c>
      <c r="J71" s="121">
        <f t="shared" si="1"/>
        <v>-1</v>
      </c>
      <c r="K71" s="125">
        <f t="shared" si="1"/>
        <v>-1</v>
      </c>
      <c r="L71" s="97">
        <f>L70+L61+L52</f>
        <v>21</v>
      </c>
      <c r="M71" s="158">
        <f>M70+M61+M52</f>
        <v>9000</v>
      </c>
      <c r="N71" s="188"/>
    </row>
    <row r="72" spans="1:14" ht="16.5" hidden="1" customHeight="1">
      <c r="A72" s="360" t="s">
        <v>51</v>
      </c>
      <c r="B72" s="362" t="s">
        <v>50</v>
      </c>
      <c r="C72" s="364" t="s">
        <v>12</v>
      </c>
      <c r="D72" s="61" t="s">
        <v>52</v>
      </c>
      <c r="E72" s="109"/>
      <c r="F72" s="98"/>
      <c r="G72" s="154"/>
      <c r="H72" s="17"/>
      <c r="I72" s="18"/>
      <c r="J72" s="19">
        <f t="shared" si="1"/>
        <v>-1</v>
      </c>
      <c r="K72" s="87">
        <f t="shared" si="1"/>
        <v>-1</v>
      </c>
      <c r="L72" s="98">
        <v>15</v>
      </c>
      <c r="M72" s="154">
        <f>1690+910</f>
        <v>2600</v>
      </c>
      <c r="N72" s="189"/>
    </row>
    <row r="73" spans="1:14" hidden="1">
      <c r="A73" s="319"/>
      <c r="B73" s="324"/>
      <c r="C73" s="317"/>
      <c r="D73" s="51" t="s">
        <v>53</v>
      </c>
      <c r="E73" s="110"/>
      <c r="F73" s="101"/>
      <c r="G73" s="157"/>
      <c r="H73" s="20"/>
      <c r="I73" s="172"/>
      <c r="J73" s="77" t="str">
        <f t="shared" si="1"/>
        <v>-</v>
      </c>
      <c r="K73" s="88" t="str">
        <f t="shared" si="1"/>
        <v>-</v>
      </c>
      <c r="L73" s="101">
        <v>0</v>
      </c>
      <c r="M73" s="157">
        <v>0</v>
      </c>
      <c r="N73" s="189"/>
    </row>
    <row r="74" spans="1:14" hidden="1">
      <c r="A74" s="319"/>
      <c r="B74" s="324"/>
      <c r="C74" s="317"/>
      <c r="D74" s="51" t="s">
        <v>37</v>
      </c>
      <c r="E74" s="110"/>
      <c r="F74" s="101"/>
      <c r="G74" s="157"/>
      <c r="H74" s="20"/>
      <c r="I74" s="172"/>
      <c r="J74" s="77">
        <f t="shared" si="1"/>
        <v>-1</v>
      </c>
      <c r="K74" s="88">
        <f t="shared" si="1"/>
        <v>-1</v>
      </c>
      <c r="L74" s="101">
        <v>1</v>
      </c>
      <c r="M74" s="157">
        <v>310</v>
      </c>
      <c r="N74" s="189"/>
    </row>
    <row r="75" spans="1:14" hidden="1">
      <c r="A75" s="319"/>
      <c r="B75" s="324"/>
      <c r="C75" s="365"/>
      <c r="D75" s="366" t="s">
        <v>16</v>
      </c>
      <c r="E75" s="249"/>
      <c r="F75" s="99">
        <f>SUM(F72:F74)</f>
        <v>0</v>
      </c>
      <c r="G75" s="155">
        <f>SUM(G72:G74)</f>
        <v>0</v>
      </c>
      <c r="H75" s="170">
        <f>SUM(H72:H74)</f>
        <v>0</v>
      </c>
      <c r="I75" s="171">
        <f>SUM(I72:I74)</f>
        <v>0</v>
      </c>
      <c r="J75" s="78">
        <f t="shared" si="1"/>
        <v>-1</v>
      </c>
      <c r="K75" s="89">
        <f t="shared" si="1"/>
        <v>-1</v>
      </c>
      <c r="L75" s="99">
        <f>SUM(L72:L74)</f>
        <v>16</v>
      </c>
      <c r="M75" s="155">
        <f>SUM(M72:M74)</f>
        <v>2910</v>
      </c>
      <c r="N75" s="189"/>
    </row>
    <row r="76" spans="1:14" hidden="1">
      <c r="A76" s="319"/>
      <c r="B76" s="324"/>
      <c r="C76" s="367" t="s">
        <v>17</v>
      </c>
      <c r="D76" s="59" t="s">
        <v>18</v>
      </c>
      <c r="E76" s="111"/>
      <c r="F76" s="100"/>
      <c r="G76" s="156"/>
      <c r="H76" s="21"/>
      <c r="I76" s="28"/>
      <c r="J76" s="9">
        <f t="shared" si="1"/>
        <v>-1</v>
      </c>
      <c r="K76" s="90">
        <f t="shared" si="1"/>
        <v>-1</v>
      </c>
      <c r="L76" s="100">
        <f>33+4+1+9</f>
        <v>47</v>
      </c>
      <c r="M76" s="156">
        <f>14520+1760+490+4410</f>
        <v>21180</v>
      </c>
      <c r="N76" s="189"/>
    </row>
    <row r="77" spans="1:14" hidden="1">
      <c r="A77" s="319"/>
      <c r="B77" s="324"/>
      <c r="C77" s="317"/>
      <c r="D77" s="51" t="s">
        <v>19</v>
      </c>
      <c r="E77" s="110"/>
      <c r="F77" s="101"/>
      <c r="G77" s="157"/>
      <c r="H77" s="20"/>
      <c r="I77" s="172"/>
      <c r="J77" s="77">
        <f t="shared" si="1"/>
        <v>-1</v>
      </c>
      <c r="K77" s="88">
        <f t="shared" si="1"/>
        <v>-1</v>
      </c>
      <c r="L77" s="101">
        <f>34+6</f>
        <v>40</v>
      </c>
      <c r="M77" s="157">
        <f>17680+3420</f>
        <v>21100</v>
      </c>
      <c r="N77" s="189"/>
    </row>
    <row r="78" spans="1:14" hidden="1">
      <c r="A78" s="319"/>
      <c r="B78" s="324"/>
      <c r="C78" s="317"/>
      <c r="D78" s="51" t="s">
        <v>38</v>
      </c>
      <c r="E78" s="110"/>
      <c r="F78" s="101"/>
      <c r="G78" s="157"/>
      <c r="H78" s="20"/>
      <c r="I78" s="172"/>
      <c r="J78" s="77" t="str">
        <f t="shared" si="1"/>
        <v>-</v>
      </c>
      <c r="K78" s="88" t="str">
        <f t="shared" si="1"/>
        <v>-</v>
      </c>
      <c r="L78" s="101">
        <v>0</v>
      </c>
      <c r="M78" s="157">
        <v>0</v>
      </c>
      <c r="N78" s="189"/>
    </row>
    <row r="79" spans="1:14" hidden="1">
      <c r="A79" s="319"/>
      <c r="B79" s="324"/>
      <c r="C79" s="365"/>
      <c r="D79" s="366" t="s">
        <v>16</v>
      </c>
      <c r="E79" s="249"/>
      <c r="F79" s="99">
        <f>SUM(F76:F78)</f>
        <v>0</v>
      </c>
      <c r="G79" s="155">
        <f>SUM(G76:G78)</f>
        <v>0</v>
      </c>
      <c r="H79" s="170">
        <f>SUM(H76:H78)</f>
        <v>0</v>
      </c>
      <c r="I79" s="171">
        <f>SUM(I76:I78)</f>
        <v>0</v>
      </c>
      <c r="J79" s="78">
        <f t="shared" si="1"/>
        <v>-1</v>
      </c>
      <c r="K79" s="89">
        <f t="shared" si="1"/>
        <v>-1</v>
      </c>
      <c r="L79" s="99">
        <f>SUM(L76:L78)</f>
        <v>87</v>
      </c>
      <c r="M79" s="155">
        <f>SUM(M76:M78)</f>
        <v>42280</v>
      </c>
      <c r="N79" s="189"/>
    </row>
    <row r="80" spans="1:14" hidden="1">
      <c r="A80" s="319"/>
      <c r="B80" s="324"/>
      <c r="C80" s="367" t="s">
        <v>54</v>
      </c>
      <c r="D80" s="59" t="s">
        <v>19</v>
      </c>
      <c r="E80" s="111"/>
      <c r="F80" s="100"/>
      <c r="G80" s="156"/>
      <c r="H80" s="21"/>
      <c r="I80" s="28"/>
      <c r="J80" s="9" t="str">
        <f t="shared" si="1"/>
        <v>-</v>
      </c>
      <c r="K80" s="90" t="str">
        <f t="shared" si="1"/>
        <v>-</v>
      </c>
      <c r="L80" s="100">
        <v>0</v>
      </c>
      <c r="M80" s="156">
        <v>0</v>
      </c>
      <c r="N80" s="189"/>
    </row>
    <row r="81" spans="1:14" hidden="1">
      <c r="A81" s="361"/>
      <c r="B81" s="363"/>
      <c r="C81" s="365"/>
      <c r="D81" s="366" t="s">
        <v>16</v>
      </c>
      <c r="E81" s="249"/>
      <c r="F81" s="99">
        <f>SUM(F80)</f>
        <v>0</v>
      </c>
      <c r="G81" s="155">
        <f>SUM(G80)</f>
        <v>0</v>
      </c>
      <c r="H81" s="170">
        <f>SUM(H80)</f>
        <v>0</v>
      </c>
      <c r="I81" s="171">
        <f>SUM(I80)</f>
        <v>0</v>
      </c>
      <c r="J81" s="78" t="str">
        <f t="shared" si="1"/>
        <v>-</v>
      </c>
      <c r="K81" s="89" t="str">
        <f t="shared" si="1"/>
        <v>-</v>
      </c>
      <c r="L81" s="99">
        <f>SUM(L80)</f>
        <v>0</v>
      </c>
      <c r="M81" s="155">
        <f>SUM(M80)</f>
        <v>0</v>
      </c>
      <c r="N81" s="189"/>
    </row>
    <row r="82" spans="1:14" hidden="1">
      <c r="A82" s="371" t="s">
        <v>58</v>
      </c>
      <c r="B82" s="372"/>
      <c r="C82" s="372"/>
      <c r="D82" s="372"/>
      <c r="E82" s="373"/>
      <c r="F82" s="103">
        <f>F81+F79+F75</f>
        <v>0</v>
      </c>
      <c r="G82" s="160">
        <f>G81+G79+G75</f>
        <v>0</v>
      </c>
      <c r="H82" s="177">
        <f>H81+H79+H75</f>
        <v>0</v>
      </c>
      <c r="I82" s="178">
        <f>I81+I79+I75</f>
        <v>0</v>
      </c>
      <c r="J82" s="121">
        <f t="shared" si="1"/>
        <v>-1</v>
      </c>
      <c r="K82" s="125">
        <f t="shared" si="1"/>
        <v>-1</v>
      </c>
      <c r="L82" s="103">
        <f>L81+L79+L75</f>
        <v>103</v>
      </c>
      <c r="M82" s="160">
        <f>M81+M79+M75</f>
        <v>45190</v>
      </c>
      <c r="N82" s="188"/>
    </row>
    <row r="83" spans="1:14" ht="17.25" thickBot="1">
      <c r="A83" s="374" t="s">
        <v>55</v>
      </c>
      <c r="B83" s="374"/>
      <c r="C83" s="374"/>
      <c r="D83" s="374"/>
      <c r="E83" s="375"/>
      <c r="F83" s="142">
        <f>F82+F71+F43+F34</f>
        <v>6</v>
      </c>
      <c r="G83" s="146">
        <f>G82+G71+G43+G34</f>
        <v>3430</v>
      </c>
      <c r="H83" s="179">
        <f>H82+H71+H43+H34</f>
        <v>49</v>
      </c>
      <c r="I83" s="180">
        <f>I82+I71+I43+I34</f>
        <v>28780</v>
      </c>
      <c r="J83" s="161">
        <f>IFERROR(H83/L83-1,"-")</f>
        <v>-0.8642659279778393</v>
      </c>
      <c r="K83" s="148">
        <f>IFERROR(I83/M83-1,"-")</f>
        <v>-0.82638595644567769</v>
      </c>
      <c r="L83" s="142">
        <f>L82+L71+L43+L34</f>
        <v>361</v>
      </c>
      <c r="M83" s="146">
        <f>M82+M71+M43+M34</f>
        <v>165770</v>
      </c>
      <c r="N83" s="190"/>
    </row>
    <row r="84" spans="1:14">
      <c r="A84" s="25" t="s">
        <v>42</v>
      </c>
    </row>
    <row r="85" spans="1:14">
      <c r="A85" s="25" t="s">
        <v>40</v>
      </c>
    </row>
    <row r="86" spans="1:14">
      <c r="A86" s="25" t="s">
        <v>41</v>
      </c>
    </row>
  </sheetData>
  <mergeCells count="64">
    <mergeCell ref="A83:E83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D65:E65"/>
    <mergeCell ref="C66:C69"/>
    <mergeCell ref="D69:E69"/>
    <mergeCell ref="C70:E70"/>
    <mergeCell ref="A82:E8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A34:E34"/>
    <mergeCell ref="A35:A42"/>
    <mergeCell ref="B35:B36"/>
    <mergeCell ref="C35:C36"/>
    <mergeCell ref="D36:E36"/>
    <mergeCell ref="B37:B42"/>
    <mergeCell ref="C37:C42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N5:N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A5:D6"/>
    <mergeCell ref="E5:E6"/>
    <mergeCell ref="F5:G5"/>
    <mergeCell ref="H5:I5"/>
    <mergeCell ref="J5:K5"/>
    <mergeCell ref="L5:M5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CCCE-4946-4A01-B6F7-246DF3EDE890}">
  <dimension ref="A1:R86"/>
  <sheetViews>
    <sheetView showGridLines="0" topLeftCell="A8" zoomScale="85" zoomScaleNormal="85" workbookViewId="0">
      <selection activeCell="Y17" sqref="Y17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7" width="7.625" customWidth="1"/>
    <col min="18" max="18" width="13.75" customWidth="1"/>
  </cols>
  <sheetData>
    <row r="1" spans="1:18" ht="20.25">
      <c r="A1" s="26" t="s">
        <v>67</v>
      </c>
    </row>
    <row r="2" spans="1:18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spans="1:18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</row>
    <row r="4" spans="1:18" ht="17.25" thickBot="1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7" t="s">
        <v>1</v>
      </c>
    </row>
    <row r="5" spans="1:18" ht="23.25" customHeight="1">
      <c r="A5" s="289" t="s">
        <v>2</v>
      </c>
      <c r="B5" s="290"/>
      <c r="C5" s="290"/>
      <c r="D5" s="291"/>
      <c r="E5" s="295" t="s">
        <v>3</v>
      </c>
      <c r="F5" s="297" t="s">
        <v>68</v>
      </c>
      <c r="G5" s="298"/>
      <c r="H5" s="299" t="s">
        <v>71</v>
      </c>
      <c r="I5" s="300"/>
      <c r="J5" s="301" t="s">
        <v>69</v>
      </c>
      <c r="K5" s="285"/>
      <c r="L5" s="284" t="s">
        <v>70</v>
      </c>
      <c r="M5" s="285"/>
      <c r="N5" s="284" t="s">
        <v>4</v>
      </c>
      <c r="O5" s="285"/>
      <c r="P5" s="284" t="s">
        <v>72</v>
      </c>
      <c r="Q5" s="285"/>
      <c r="R5" s="286" t="s">
        <v>5</v>
      </c>
    </row>
    <row r="6" spans="1:18">
      <c r="A6" s="292"/>
      <c r="B6" s="293"/>
      <c r="C6" s="293"/>
      <c r="D6" s="294"/>
      <c r="E6" s="296"/>
      <c r="F6" s="222" t="s">
        <v>6</v>
      </c>
      <c r="G6" s="194" t="s">
        <v>7</v>
      </c>
      <c r="H6" s="227" t="s">
        <v>8</v>
      </c>
      <c r="I6" s="228" t="s">
        <v>9</v>
      </c>
      <c r="J6" s="226" t="s">
        <v>8</v>
      </c>
      <c r="K6" s="223" t="s">
        <v>9</v>
      </c>
      <c r="L6" s="224" t="s">
        <v>8</v>
      </c>
      <c r="M6" s="223" t="s">
        <v>9</v>
      </c>
      <c r="N6" s="224" t="s">
        <v>8</v>
      </c>
      <c r="O6" s="223" t="s">
        <v>9</v>
      </c>
      <c r="P6" s="224" t="s">
        <v>8</v>
      </c>
      <c r="Q6" s="223" t="s">
        <v>9</v>
      </c>
      <c r="R6" s="287"/>
    </row>
    <row r="7" spans="1:18">
      <c r="A7" s="288" t="s">
        <v>10</v>
      </c>
      <c r="B7" s="258" t="s">
        <v>11</v>
      </c>
      <c r="C7" s="261" t="s">
        <v>12</v>
      </c>
      <c r="D7" s="213" t="s">
        <v>13</v>
      </c>
      <c r="E7" s="68">
        <v>275</v>
      </c>
      <c r="F7" s="13">
        <v>0</v>
      </c>
      <c r="G7" s="14">
        <f>F7*E7</f>
        <v>0</v>
      </c>
      <c r="H7" s="15">
        <f>F7</f>
        <v>0</v>
      </c>
      <c r="I7" s="16">
        <f>H7*E7</f>
        <v>0</v>
      </c>
      <c r="J7" s="205" t="str">
        <f t="shared" ref="J7:K70" si="0">IFERROR(H7/L7-1,"-")</f>
        <v>-</v>
      </c>
      <c r="K7" s="206" t="str">
        <f t="shared" si="0"/>
        <v>-</v>
      </c>
      <c r="L7" s="84">
        <v>0</v>
      </c>
      <c r="M7" s="81"/>
      <c r="N7" s="19">
        <f t="shared" ref="N7:N38" si="1">IFERROR(H7/P7-1,"-")</f>
        <v>-1</v>
      </c>
      <c r="O7" s="87">
        <f t="shared" ref="O7:O38" si="2">IFERROR(I7/Q7-1,"-")</f>
        <v>-1</v>
      </c>
      <c r="P7" s="84">
        <f>3+5</f>
        <v>8</v>
      </c>
      <c r="Q7" s="81">
        <f>690+1210</f>
        <v>1900</v>
      </c>
      <c r="R7" s="184" t="s">
        <v>14</v>
      </c>
    </row>
    <row r="8" spans="1:18">
      <c r="A8" s="268"/>
      <c r="B8" s="259"/>
      <c r="C8" s="262"/>
      <c r="D8" s="214" t="s">
        <v>15</v>
      </c>
      <c r="E8" s="69">
        <v>180</v>
      </c>
      <c r="F8" s="12">
        <v>0</v>
      </c>
      <c r="G8" s="150">
        <v>0</v>
      </c>
      <c r="H8" s="10">
        <v>0</v>
      </c>
      <c r="I8" s="11">
        <f>H8*E8</f>
        <v>0</v>
      </c>
      <c r="J8" s="195">
        <f t="shared" si="0"/>
        <v>-1</v>
      </c>
      <c r="K8" s="196">
        <f t="shared" si="0"/>
        <v>-1</v>
      </c>
      <c r="L8" s="85">
        <v>1</v>
      </c>
      <c r="M8" s="82">
        <v>170</v>
      </c>
      <c r="N8" s="77" t="str">
        <f t="shared" si="1"/>
        <v>-</v>
      </c>
      <c r="O8" s="88" t="str">
        <f t="shared" si="2"/>
        <v>-</v>
      </c>
      <c r="P8" s="85">
        <v>0</v>
      </c>
      <c r="Q8" s="82">
        <v>0</v>
      </c>
      <c r="R8" s="185"/>
    </row>
    <row r="9" spans="1:18">
      <c r="A9" s="268"/>
      <c r="B9" s="259"/>
      <c r="C9" s="262"/>
      <c r="D9" s="214" t="s">
        <v>37</v>
      </c>
      <c r="E9" s="69">
        <v>420</v>
      </c>
      <c r="F9" s="12">
        <v>0</v>
      </c>
      <c r="G9" s="150">
        <f>F9*E9</f>
        <v>0</v>
      </c>
      <c r="H9" s="10">
        <v>0</v>
      </c>
      <c r="I9" s="11">
        <f>H9*E9</f>
        <v>0</v>
      </c>
      <c r="J9" s="195" t="str">
        <f t="shared" si="0"/>
        <v>-</v>
      </c>
      <c r="K9" s="196" t="str">
        <f t="shared" si="0"/>
        <v>-</v>
      </c>
      <c r="L9" s="85">
        <v>0</v>
      </c>
      <c r="M9" s="82">
        <v>0</v>
      </c>
      <c r="N9" s="77">
        <f t="shared" si="1"/>
        <v>-1</v>
      </c>
      <c r="O9" s="88">
        <f t="shared" si="2"/>
        <v>-1</v>
      </c>
      <c r="P9" s="85">
        <v>1</v>
      </c>
      <c r="Q9" s="82">
        <v>430</v>
      </c>
      <c r="R9" s="185"/>
    </row>
    <row r="10" spans="1:18">
      <c r="A10" s="268"/>
      <c r="B10" s="259"/>
      <c r="C10" s="263"/>
      <c r="D10" s="250" t="s">
        <v>16</v>
      </c>
      <c r="E10" s="251"/>
      <c r="F10" s="65">
        <f>SUM(F7:F9)</f>
        <v>0</v>
      </c>
      <c r="G10" s="151">
        <f>SUM(G7:G9)</f>
        <v>0</v>
      </c>
      <c r="H10" s="164">
        <f>SUM(H7:H9)</f>
        <v>0</v>
      </c>
      <c r="I10" s="165">
        <f>SUM(I7:I9)</f>
        <v>0</v>
      </c>
      <c r="J10" s="209">
        <f t="shared" si="0"/>
        <v>-1</v>
      </c>
      <c r="K10" s="210">
        <f t="shared" si="0"/>
        <v>-1</v>
      </c>
      <c r="L10" s="65">
        <f>SUM(L7:L9)</f>
        <v>1</v>
      </c>
      <c r="M10" s="74">
        <f>SUM(M7:M9)</f>
        <v>170</v>
      </c>
      <c r="N10" s="78">
        <f t="shared" si="1"/>
        <v>-1</v>
      </c>
      <c r="O10" s="89">
        <f t="shared" si="2"/>
        <v>-1</v>
      </c>
      <c r="P10" s="65">
        <f>SUM(P7:P9)</f>
        <v>9</v>
      </c>
      <c r="Q10" s="74">
        <f>SUM(Q7:Q9)</f>
        <v>2330</v>
      </c>
      <c r="R10" s="185"/>
    </row>
    <row r="11" spans="1:18">
      <c r="A11" s="268"/>
      <c r="B11" s="259"/>
      <c r="C11" s="261" t="s">
        <v>17</v>
      </c>
      <c r="D11" s="215" t="s">
        <v>18</v>
      </c>
      <c r="E11" s="70">
        <v>550</v>
      </c>
      <c r="F11" s="5">
        <v>1</v>
      </c>
      <c r="G11" s="6">
        <f>F11*E11</f>
        <v>550</v>
      </c>
      <c r="H11" s="7">
        <v>5</v>
      </c>
      <c r="I11" s="8">
        <f>H11*E11</f>
        <v>2750</v>
      </c>
      <c r="J11" s="197">
        <f>IFERROR(H11/L11-1,"-")</f>
        <v>-0.16666666666666663</v>
      </c>
      <c r="K11" s="198">
        <f t="shared" si="0"/>
        <v>-0.13522012578616349</v>
      </c>
      <c r="L11" s="86">
        <v>6</v>
      </c>
      <c r="M11" s="83">
        <v>3180</v>
      </c>
      <c r="N11" s="9">
        <f t="shared" si="1"/>
        <v>-0.75</v>
      </c>
      <c r="O11" s="90">
        <f t="shared" si="2"/>
        <v>-0.74056603773584906</v>
      </c>
      <c r="P11" s="86">
        <v>20</v>
      </c>
      <c r="Q11" s="83">
        <f>1060+9540</f>
        <v>10600</v>
      </c>
      <c r="R11" s="185"/>
    </row>
    <row r="12" spans="1:18">
      <c r="A12" s="268"/>
      <c r="B12" s="259"/>
      <c r="C12" s="262"/>
      <c r="D12" s="214" t="s">
        <v>19</v>
      </c>
      <c r="E12" s="69">
        <v>675</v>
      </c>
      <c r="F12" s="12">
        <v>0</v>
      </c>
      <c r="G12" s="150">
        <f>F12*E12</f>
        <v>0</v>
      </c>
      <c r="H12" s="10">
        <v>2</v>
      </c>
      <c r="I12" s="11">
        <f>H12*E12</f>
        <v>1350</v>
      </c>
      <c r="J12" s="195">
        <f t="shared" si="0"/>
        <v>-0.7142857142857143</v>
      </c>
      <c r="K12" s="196">
        <f t="shared" si="0"/>
        <v>-0.6986607142857143</v>
      </c>
      <c r="L12" s="85">
        <v>7</v>
      </c>
      <c r="M12" s="82">
        <v>4480</v>
      </c>
      <c r="N12" s="77">
        <f t="shared" si="1"/>
        <v>-0.9285714285714286</v>
      </c>
      <c r="O12" s="88">
        <f t="shared" si="2"/>
        <v>-0.921875</v>
      </c>
      <c r="P12" s="85">
        <v>28</v>
      </c>
      <c r="Q12" s="82">
        <f>9600+7680</f>
        <v>17280</v>
      </c>
      <c r="R12" s="185"/>
    </row>
    <row r="13" spans="1:18">
      <c r="A13" s="268"/>
      <c r="B13" s="259"/>
      <c r="C13" s="262"/>
      <c r="D13" s="214" t="s">
        <v>38</v>
      </c>
      <c r="E13" s="69">
        <v>810</v>
      </c>
      <c r="F13" s="12">
        <v>1</v>
      </c>
      <c r="G13" s="150">
        <f>F13*E13</f>
        <v>810</v>
      </c>
      <c r="H13" s="10">
        <v>3</v>
      </c>
      <c r="I13" s="11">
        <f>H13*E13</f>
        <v>2430</v>
      </c>
      <c r="J13" s="195" t="str">
        <f t="shared" si="0"/>
        <v>-</v>
      </c>
      <c r="K13" s="196" t="str">
        <f t="shared" si="0"/>
        <v>-</v>
      </c>
      <c r="L13" s="85">
        <v>0</v>
      </c>
      <c r="M13" s="82">
        <v>0</v>
      </c>
      <c r="N13" s="77" t="str">
        <f t="shared" si="1"/>
        <v>-</v>
      </c>
      <c r="O13" s="88" t="str">
        <f t="shared" si="2"/>
        <v>-</v>
      </c>
      <c r="P13" s="85">
        <v>0</v>
      </c>
      <c r="Q13" s="82">
        <v>0</v>
      </c>
      <c r="R13" s="185"/>
    </row>
    <row r="14" spans="1:18">
      <c r="A14" s="268"/>
      <c r="B14" s="259"/>
      <c r="C14" s="263"/>
      <c r="D14" s="250" t="s">
        <v>16</v>
      </c>
      <c r="E14" s="251"/>
      <c r="F14" s="65">
        <f>SUM(F11:F13)</f>
        <v>2</v>
      </c>
      <c r="G14" s="151">
        <f>SUM(G11:G13)</f>
        <v>1360</v>
      </c>
      <c r="H14" s="164">
        <f>SUM(H11:H13)</f>
        <v>10</v>
      </c>
      <c r="I14" s="165">
        <f>SUM(I11:I13)</f>
        <v>6530</v>
      </c>
      <c r="J14" s="209">
        <f t="shared" si="0"/>
        <v>-0.23076923076923073</v>
      </c>
      <c r="K14" s="210">
        <f t="shared" si="0"/>
        <v>-0.14751958224543082</v>
      </c>
      <c r="L14" s="65">
        <f>SUM(L11:L13)</f>
        <v>13</v>
      </c>
      <c r="M14" s="74">
        <f>SUM(M11:M13)</f>
        <v>7660</v>
      </c>
      <c r="N14" s="78">
        <f t="shared" si="1"/>
        <v>-0.79166666666666663</v>
      </c>
      <c r="O14" s="89">
        <f t="shared" si="2"/>
        <v>-0.76578192252510757</v>
      </c>
      <c r="P14" s="65">
        <f>SUM(P11:P13)</f>
        <v>48</v>
      </c>
      <c r="Q14" s="74">
        <f>SUM(Q11:Q13)</f>
        <v>27880</v>
      </c>
      <c r="R14" s="185"/>
    </row>
    <row r="15" spans="1:18">
      <c r="A15" s="268"/>
      <c r="B15" s="260"/>
      <c r="C15" s="255" t="s">
        <v>20</v>
      </c>
      <c r="D15" s="256"/>
      <c r="E15" s="257"/>
      <c r="F15" s="102">
        <f>SUM(F10,F14)</f>
        <v>2</v>
      </c>
      <c r="G15" s="159">
        <f>SUM(G10,G14)</f>
        <v>1360</v>
      </c>
      <c r="H15" s="175">
        <f>H14+H10</f>
        <v>10</v>
      </c>
      <c r="I15" s="176">
        <f>I14+I10</f>
        <v>6530</v>
      </c>
      <c r="J15" s="211">
        <f t="shared" si="0"/>
        <v>-0.2857142857142857</v>
      </c>
      <c r="K15" s="212">
        <f t="shared" si="0"/>
        <v>-0.16602809706257982</v>
      </c>
      <c r="L15" s="102">
        <f>L14+L10</f>
        <v>14</v>
      </c>
      <c r="M15" s="119">
        <f>M14+M10</f>
        <v>7830</v>
      </c>
      <c r="N15" s="122">
        <f t="shared" si="1"/>
        <v>-0.82456140350877194</v>
      </c>
      <c r="O15" s="126">
        <f t="shared" si="2"/>
        <v>-0.78384640847401521</v>
      </c>
      <c r="P15" s="102">
        <f>SUM(P10,P14)</f>
        <v>57</v>
      </c>
      <c r="Q15" s="119">
        <f>SUM(Q10,Q14)</f>
        <v>30210</v>
      </c>
      <c r="R15" s="191"/>
    </row>
    <row r="16" spans="1:18">
      <c r="A16" s="268"/>
      <c r="B16" s="258" t="s">
        <v>21</v>
      </c>
      <c r="C16" s="261" t="s">
        <v>12</v>
      </c>
      <c r="D16" s="215" t="s">
        <v>13</v>
      </c>
      <c r="E16" s="70">
        <v>190</v>
      </c>
      <c r="F16" s="5">
        <v>0</v>
      </c>
      <c r="G16" s="6">
        <f>F16*E16</f>
        <v>0</v>
      </c>
      <c r="H16" s="7">
        <v>0</v>
      </c>
      <c r="I16" s="8">
        <f>H16*E16</f>
        <v>0</v>
      </c>
      <c r="J16" s="197" t="str">
        <f t="shared" si="0"/>
        <v>-</v>
      </c>
      <c r="K16" s="198" t="str">
        <f t="shared" si="0"/>
        <v>-</v>
      </c>
      <c r="L16" s="86">
        <v>0</v>
      </c>
      <c r="M16" s="83">
        <v>0</v>
      </c>
      <c r="N16" s="9">
        <f t="shared" si="1"/>
        <v>-1</v>
      </c>
      <c r="O16" s="90">
        <f t="shared" si="2"/>
        <v>-1</v>
      </c>
      <c r="P16" s="86">
        <v>5</v>
      </c>
      <c r="Q16" s="83">
        <v>670</v>
      </c>
      <c r="R16" s="185" t="s">
        <v>22</v>
      </c>
    </row>
    <row r="17" spans="1:18">
      <c r="A17" s="268"/>
      <c r="B17" s="259"/>
      <c r="C17" s="262"/>
      <c r="D17" s="214" t="s">
        <v>15</v>
      </c>
      <c r="E17" s="69">
        <v>120</v>
      </c>
      <c r="F17" s="12">
        <v>0</v>
      </c>
      <c r="G17" s="150">
        <f>F17*E17</f>
        <v>0</v>
      </c>
      <c r="H17" s="10">
        <v>0</v>
      </c>
      <c r="I17" s="11">
        <f>H17*E17</f>
        <v>0</v>
      </c>
      <c r="J17" s="195" t="str">
        <f t="shared" si="0"/>
        <v>-</v>
      </c>
      <c r="K17" s="196" t="str">
        <f t="shared" si="0"/>
        <v>-</v>
      </c>
      <c r="L17" s="85">
        <v>0</v>
      </c>
      <c r="M17" s="82">
        <v>0</v>
      </c>
      <c r="N17" s="77">
        <f t="shared" si="1"/>
        <v>-1</v>
      </c>
      <c r="O17" s="88">
        <f t="shared" si="2"/>
        <v>-1</v>
      </c>
      <c r="P17" s="85">
        <v>3</v>
      </c>
      <c r="Q17" s="82">
        <v>430</v>
      </c>
      <c r="R17" s="185"/>
    </row>
    <row r="18" spans="1:18">
      <c r="A18" s="268"/>
      <c r="B18" s="259"/>
      <c r="C18" s="262"/>
      <c r="D18" s="214" t="s">
        <v>37</v>
      </c>
      <c r="E18" s="69">
        <v>300</v>
      </c>
      <c r="F18" s="12">
        <v>0</v>
      </c>
      <c r="G18" s="150">
        <f>F18*E18</f>
        <v>0</v>
      </c>
      <c r="H18" s="10">
        <v>0</v>
      </c>
      <c r="I18" s="11">
        <f>H18*E18</f>
        <v>0</v>
      </c>
      <c r="J18" s="195" t="str">
        <f t="shared" si="0"/>
        <v>-</v>
      </c>
      <c r="K18" s="196" t="str">
        <f t="shared" si="0"/>
        <v>-</v>
      </c>
      <c r="L18" s="85">
        <v>0</v>
      </c>
      <c r="M18" s="82">
        <v>0</v>
      </c>
      <c r="N18" s="77" t="str">
        <f t="shared" si="1"/>
        <v>-</v>
      </c>
      <c r="O18" s="88" t="str">
        <f t="shared" si="2"/>
        <v>-</v>
      </c>
      <c r="P18" s="85">
        <v>0</v>
      </c>
      <c r="Q18" s="82">
        <v>0</v>
      </c>
      <c r="R18" s="185" t="s">
        <v>23</v>
      </c>
    </row>
    <row r="19" spans="1:18">
      <c r="A19" s="268"/>
      <c r="B19" s="259"/>
      <c r="C19" s="263"/>
      <c r="D19" s="250" t="s">
        <v>16</v>
      </c>
      <c r="E19" s="251"/>
      <c r="F19" s="65">
        <f>SUM(F16:F18)</f>
        <v>0</v>
      </c>
      <c r="G19" s="151">
        <f>SUM(G16:G18)</f>
        <v>0</v>
      </c>
      <c r="H19" s="164">
        <f>SUM(H16:H18)</f>
        <v>0</v>
      </c>
      <c r="I19" s="165">
        <f>SUM(I16:I18)</f>
        <v>0</v>
      </c>
      <c r="J19" s="209" t="str">
        <f t="shared" si="0"/>
        <v>-</v>
      </c>
      <c r="K19" s="210" t="str">
        <f t="shared" si="0"/>
        <v>-</v>
      </c>
      <c r="L19" s="65">
        <f>SUM(L16:L18)</f>
        <v>0</v>
      </c>
      <c r="M19" s="74">
        <f>SUM(M16:M18)</f>
        <v>0</v>
      </c>
      <c r="N19" s="78">
        <f t="shared" si="1"/>
        <v>-1</v>
      </c>
      <c r="O19" s="89">
        <f t="shared" si="2"/>
        <v>-1</v>
      </c>
      <c r="P19" s="65">
        <f>SUM(P16:P18)</f>
        <v>8</v>
      </c>
      <c r="Q19" s="74">
        <f>SUM(Q16:Q18)</f>
        <v>1100</v>
      </c>
      <c r="R19" s="185" t="s">
        <v>24</v>
      </c>
    </row>
    <row r="20" spans="1:18">
      <c r="A20" s="268"/>
      <c r="B20" s="259"/>
      <c r="C20" s="261" t="s">
        <v>17</v>
      </c>
      <c r="D20" s="215" t="s">
        <v>18</v>
      </c>
      <c r="E20" s="70">
        <v>440</v>
      </c>
      <c r="F20" s="5">
        <v>0</v>
      </c>
      <c r="G20" s="6">
        <f>F20*E20</f>
        <v>0</v>
      </c>
      <c r="H20" s="7">
        <v>0</v>
      </c>
      <c r="I20" s="8">
        <f>H20*E20</f>
        <v>0</v>
      </c>
      <c r="J20" s="197">
        <f t="shared" si="0"/>
        <v>-1</v>
      </c>
      <c r="K20" s="198">
        <f t="shared" si="0"/>
        <v>-1</v>
      </c>
      <c r="L20" s="86">
        <v>2</v>
      </c>
      <c r="M20" s="83">
        <v>880</v>
      </c>
      <c r="N20" s="9">
        <f t="shared" si="1"/>
        <v>-1</v>
      </c>
      <c r="O20" s="90">
        <f t="shared" si="2"/>
        <v>-1</v>
      </c>
      <c r="P20" s="86">
        <f>16+1</f>
        <v>17</v>
      </c>
      <c r="Q20" s="83">
        <f>1320+5720+440</f>
        <v>7480</v>
      </c>
      <c r="R20" s="185" t="s">
        <v>25</v>
      </c>
    </row>
    <row r="21" spans="1:18">
      <c r="A21" s="268"/>
      <c r="B21" s="259"/>
      <c r="C21" s="262"/>
      <c r="D21" s="214" t="s">
        <v>19</v>
      </c>
      <c r="E21" s="69">
        <v>520</v>
      </c>
      <c r="F21" s="12">
        <v>0</v>
      </c>
      <c r="G21" s="150">
        <f>F21*E21</f>
        <v>0</v>
      </c>
      <c r="H21" s="10">
        <v>2</v>
      </c>
      <c r="I21" s="11">
        <f>H21*E21</f>
        <v>1040</v>
      </c>
      <c r="J21" s="195">
        <f t="shared" si="0"/>
        <v>-0.5</v>
      </c>
      <c r="K21" s="196">
        <f t="shared" si="0"/>
        <v>-0.5</v>
      </c>
      <c r="L21" s="85">
        <v>4</v>
      </c>
      <c r="M21" s="82">
        <v>2080</v>
      </c>
      <c r="N21" s="77">
        <f t="shared" si="1"/>
        <v>-0.84615384615384615</v>
      </c>
      <c r="O21" s="88">
        <f t="shared" si="2"/>
        <v>-0.84615384615384615</v>
      </c>
      <c r="P21" s="85">
        <f>9+4</f>
        <v>13</v>
      </c>
      <c r="Q21" s="82">
        <f>1560+3120+2080</f>
        <v>6760</v>
      </c>
      <c r="R21" s="185"/>
    </row>
    <row r="22" spans="1:18">
      <c r="A22" s="268"/>
      <c r="B22" s="259"/>
      <c r="C22" s="262"/>
      <c r="D22" s="214" t="s">
        <v>38</v>
      </c>
      <c r="E22" s="69">
        <v>600</v>
      </c>
      <c r="F22" s="12">
        <v>0</v>
      </c>
      <c r="G22" s="150">
        <f>F22*E22</f>
        <v>0</v>
      </c>
      <c r="H22" s="10">
        <v>0</v>
      </c>
      <c r="I22" s="11">
        <f>H22*E22</f>
        <v>0</v>
      </c>
      <c r="J22" s="195" t="str">
        <f t="shared" si="0"/>
        <v>-</v>
      </c>
      <c r="K22" s="196" t="str">
        <f t="shared" si="0"/>
        <v>-</v>
      </c>
      <c r="L22" s="85">
        <v>0</v>
      </c>
      <c r="M22" s="82">
        <v>0</v>
      </c>
      <c r="N22" s="77" t="str">
        <f t="shared" si="1"/>
        <v>-</v>
      </c>
      <c r="O22" s="88" t="str">
        <f t="shared" si="2"/>
        <v>-</v>
      </c>
      <c r="P22" s="85">
        <v>0</v>
      </c>
      <c r="Q22" s="82">
        <v>0</v>
      </c>
      <c r="R22" s="185"/>
    </row>
    <row r="23" spans="1:18">
      <c r="A23" s="268"/>
      <c r="B23" s="259"/>
      <c r="C23" s="263"/>
      <c r="D23" s="250" t="s">
        <v>16</v>
      </c>
      <c r="E23" s="251"/>
      <c r="F23" s="65">
        <f>SUM(F20:F22)</f>
        <v>0</v>
      </c>
      <c r="G23" s="151">
        <f>SUM(G20:G22)</f>
        <v>0</v>
      </c>
      <c r="H23" s="164">
        <f>SUM(H20:H22)</f>
        <v>2</v>
      </c>
      <c r="I23" s="165">
        <f>SUM(I20:I22)</f>
        <v>1040</v>
      </c>
      <c r="J23" s="209">
        <f t="shared" si="0"/>
        <v>-0.66666666666666674</v>
      </c>
      <c r="K23" s="210">
        <f t="shared" si="0"/>
        <v>-0.64864864864864868</v>
      </c>
      <c r="L23" s="65">
        <f>SUM(L20:L22)</f>
        <v>6</v>
      </c>
      <c r="M23" s="74">
        <f>SUM(M20:M22)</f>
        <v>2960</v>
      </c>
      <c r="N23" s="78">
        <f t="shared" si="1"/>
        <v>-0.93333333333333335</v>
      </c>
      <c r="O23" s="89">
        <f t="shared" si="2"/>
        <v>-0.9269662921348315</v>
      </c>
      <c r="P23" s="65">
        <f>SUM(P20:P22)</f>
        <v>30</v>
      </c>
      <c r="Q23" s="74">
        <f>SUM(Q20:Q22)</f>
        <v>14240</v>
      </c>
      <c r="R23" s="185"/>
    </row>
    <row r="24" spans="1:18">
      <c r="A24" s="268"/>
      <c r="B24" s="260"/>
      <c r="C24" s="255" t="s">
        <v>20</v>
      </c>
      <c r="D24" s="256"/>
      <c r="E24" s="257"/>
      <c r="F24" s="102">
        <f>SUM(F19,F23)</f>
        <v>0</v>
      </c>
      <c r="G24" s="159">
        <f>SUM(G19,G23)</f>
        <v>0</v>
      </c>
      <c r="H24" s="175">
        <f>H23+H19</f>
        <v>2</v>
      </c>
      <c r="I24" s="176">
        <f>I23+I19</f>
        <v>1040</v>
      </c>
      <c r="J24" s="211">
        <f t="shared" si="0"/>
        <v>-0.66666666666666674</v>
      </c>
      <c r="K24" s="212">
        <f t="shared" si="0"/>
        <v>-0.64864864864864868</v>
      </c>
      <c r="L24" s="102">
        <f>L23+L19</f>
        <v>6</v>
      </c>
      <c r="M24" s="119">
        <f>M23+M19</f>
        <v>2960</v>
      </c>
      <c r="N24" s="122">
        <f t="shared" si="1"/>
        <v>-0.94736842105263164</v>
      </c>
      <c r="O24" s="126">
        <f t="shared" si="2"/>
        <v>-0.93220338983050843</v>
      </c>
      <c r="P24" s="102">
        <f>SUM(P19,P23)</f>
        <v>38</v>
      </c>
      <c r="Q24" s="119">
        <f>SUM(Q19,Q23)</f>
        <v>15340</v>
      </c>
      <c r="R24" s="191"/>
    </row>
    <row r="25" spans="1:18">
      <c r="A25" s="268"/>
      <c r="B25" s="258" t="s">
        <v>26</v>
      </c>
      <c r="C25" s="261" t="s">
        <v>12</v>
      </c>
      <c r="D25" s="215" t="s">
        <v>13</v>
      </c>
      <c r="E25" s="70">
        <v>190</v>
      </c>
      <c r="F25" s="5"/>
      <c r="G25" s="6">
        <f>F25*E25</f>
        <v>0</v>
      </c>
      <c r="H25" s="7">
        <v>1</v>
      </c>
      <c r="I25" s="8">
        <f>H25*E25</f>
        <v>190</v>
      </c>
      <c r="J25" s="197">
        <f t="shared" si="0"/>
        <v>-0.85714285714285721</v>
      </c>
      <c r="K25" s="198">
        <f t="shared" si="0"/>
        <v>-0.85714285714285721</v>
      </c>
      <c r="L25" s="86">
        <v>7</v>
      </c>
      <c r="M25" s="83">
        <v>1330</v>
      </c>
      <c r="N25" s="9">
        <f t="shared" si="1"/>
        <v>-0.94736842105263164</v>
      </c>
      <c r="O25" s="90">
        <f t="shared" si="2"/>
        <v>-0.93470790378006874</v>
      </c>
      <c r="P25" s="86">
        <v>19</v>
      </c>
      <c r="Q25" s="83">
        <v>2910</v>
      </c>
      <c r="R25" s="185" t="s">
        <v>22</v>
      </c>
    </row>
    <row r="26" spans="1:18">
      <c r="A26" s="268"/>
      <c r="B26" s="259"/>
      <c r="C26" s="262"/>
      <c r="D26" s="214" t="s">
        <v>15</v>
      </c>
      <c r="E26" s="69">
        <v>120</v>
      </c>
      <c r="F26" s="12"/>
      <c r="G26" s="150">
        <f>F26*E26</f>
        <v>0</v>
      </c>
      <c r="H26" s="10">
        <v>1</v>
      </c>
      <c r="I26" s="11">
        <f>H26*E26</f>
        <v>120</v>
      </c>
      <c r="J26" s="195">
        <f t="shared" si="0"/>
        <v>0</v>
      </c>
      <c r="K26" s="196">
        <f t="shared" si="0"/>
        <v>0</v>
      </c>
      <c r="L26" s="85">
        <v>1</v>
      </c>
      <c r="M26" s="82">
        <v>120</v>
      </c>
      <c r="N26" s="77" t="str">
        <f t="shared" si="1"/>
        <v>-</v>
      </c>
      <c r="O26" s="88" t="str">
        <f t="shared" si="2"/>
        <v>-</v>
      </c>
      <c r="P26" s="85">
        <v>0</v>
      </c>
      <c r="Q26" s="82">
        <v>0</v>
      </c>
      <c r="R26" s="185"/>
    </row>
    <row r="27" spans="1:18">
      <c r="A27" s="268"/>
      <c r="B27" s="259"/>
      <c r="C27" s="262"/>
      <c r="D27" s="214" t="s">
        <v>37</v>
      </c>
      <c r="E27" s="69">
        <v>300</v>
      </c>
      <c r="F27" s="12">
        <v>0</v>
      </c>
      <c r="G27" s="150">
        <f>F27*E27</f>
        <v>0</v>
      </c>
      <c r="H27" s="10">
        <v>4</v>
      </c>
      <c r="I27" s="11">
        <f>H27*E27</f>
        <v>1200</v>
      </c>
      <c r="J27" s="195" t="str">
        <f t="shared" si="0"/>
        <v>-</v>
      </c>
      <c r="K27" s="196" t="str">
        <f t="shared" si="0"/>
        <v>-</v>
      </c>
      <c r="L27" s="85">
        <v>0</v>
      </c>
      <c r="M27" s="82">
        <v>0</v>
      </c>
      <c r="N27" s="77">
        <f t="shared" si="1"/>
        <v>-0.4285714285714286</v>
      </c>
      <c r="O27" s="88">
        <f t="shared" si="2"/>
        <v>-0.44700460829493083</v>
      </c>
      <c r="P27" s="85">
        <v>7</v>
      </c>
      <c r="Q27" s="82">
        <v>2170</v>
      </c>
      <c r="R27" s="185" t="s">
        <v>27</v>
      </c>
    </row>
    <row r="28" spans="1:18">
      <c r="A28" s="268"/>
      <c r="B28" s="259"/>
      <c r="C28" s="263"/>
      <c r="D28" s="250" t="s">
        <v>16</v>
      </c>
      <c r="E28" s="251"/>
      <c r="F28" s="65">
        <f>SUM(F25:F27)</f>
        <v>0</v>
      </c>
      <c r="G28" s="151">
        <f>SUM(G25:G27)</f>
        <v>0</v>
      </c>
      <c r="H28" s="164">
        <f>SUM(H25:H27)</f>
        <v>6</v>
      </c>
      <c r="I28" s="165">
        <f>SUM(I25:I27)</f>
        <v>1510</v>
      </c>
      <c r="J28" s="209">
        <f t="shared" si="0"/>
        <v>-0.25</v>
      </c>
      <c r="K28" s="210">
        <f t="shared" si="0"/>
        <v>4.1379310344827669E-2</v>
      </c>
      <c r="L28" s="65">
        <f>SUM(L25:L27)</f>
        <v>8</v>
      </c>
      <c r="M28" s="74">
        <f>SUM(M25:M27)</f>
        <v>1450</v>
      </c>
      <c r="N28" s="78">
        <f t="shared" si="1"/>
        <v>-0.76923076923076916</v>
      </c>
      <c r="O28" s="89">
        <f t="shared" si="2"/>
        <v>-0.702755905511811</v>
      </c>
      <c r="P28" s="65">
        <f>SUM(P25:P27)</f>
        <v>26</v>
      </c>
      <c r="Q28" s="74">
        <f>SUM(Q25:Q27)</f>
        <v>5080</v>
      </c>
      <c r="R28" s="185"/>
    </row>
    <row r="29" spans="1:18">
      <c r="A29" s="268"/>
      <c r="B29" s="259"/>
      <c r="C29" s="261" t="s">
        <v>17</v>
      </c>
      <c r="D29" s="215" t="s">
        <v>18</v>
      </c>
      <c r="E29" s="70">
        <v>440</v>
      </c>
      <c r="F29" s="5">
        <v>9</v>
      </c>
      <c r="G29" s="6">
        <f>F29*E29</f>
        <v>3960</v>
      </c>
      <c r="H29" s="7">
        <v>21</v>
      </c>
      <c r="I29" s="8">
        <f>H29*E29</f>
        <v>9240</v>
      </c>
      <c r="J29" s="197">
        <f t="shared" si="0"/>
        <v>0.23529411764705888</v>
      </c>
      <c r="K29" s="198">
        <f t="shared" si="0"/>
        <v>0.23529411764705888</v>
      </c>
      <c r="L29" s="86">
        <v>17</v>
      </c>
      <c r="M29" s="83">
        <v>7480</v>
      </c>
      <c r="N29" s="9">
        <f t="shared" si="1"/>
        <v>-0.61111111111111116</v>
      </c>
      <c r="O29" s="90">
        <f t="shared" si="2"/>
        <v>-0.61111111111111116</v>
      </c>
      <c r="P29" s="86">
        <v>54</v>
      </c>
      <c r="Q29" s="83">
        <v>23760</v>
      </c>
      <c r="R29" s="185"/>
    </row>
    <row r="30" spans="1:18">
      <c r="A30" s="268"/>
      <c r="B30" s="259"/>
      <c r="C30" s="262"/>
      <c r="D30" s="214" t="s">
        <v>19</v>
      </c>
      <c r="E30" s="69">
        <v>520</v>
      </c>
      <c r="F30" s="12">
        <v>3</v>
      </c>
      <c r="G30" s="150">
        <f>F30*E30</f>
        <v>1560</v>
      </c>
      <c r="H30" s="10">
        <v>12</v>
      </c>
      <c r="I30" s="11">
        <f>H30*E30</f>
        <v>6240</v>
      </c>
      <c r="J30" s="195">
        <f t="shared" si="0"/>
        <v>-0.1428571428571429</v>
      </c>
      <c r="K30" s="196">
        <f t="shared" si="0"/>
        <v>-0.1428571428571429</v>
      </c>
      <c r="L30" s="85">
        <v>14</v>
      </c>
      <c r="M30" s="82">
        <v>7280</v>
      </c>
      <c r="N30" s="77">
        <f t="shared" si="1"/>
        <v>-0.70731707317073167</v>
      </c>
      <c r="O30" s="88">
        <f t="shared" si="2"/>
        <v>-0.7142857142857143</v>
      </c>
      <c r="P30" s="85">
        <v>41</v>
      </c>
      <c r="Q30" s="82">
        <v>21840</v>
      </c>
      <c r="R30" s="185"/>
    </row>
    <row r="31" spans="1:18">
      <c r="A31" s="268"/>
      <c r="B31" s="259"/>
      <c r="C31" s="262"/>
      <c r="D31" s="214" t="s">
        <v>38</v>
      </c>
      <c r="E31" s="69">
        <v>600</v>
      </c>
      <c r="F31" s="12">
        <v>1</v>
      </c>
      <c r="G31" s="150">
        <f>F31*E31</f>
        <v>600</v>
      </c>
      <c r="H31" s="10">
        <v>3</v>
      </c>
      <c r="I31" s="11">
        <f>H31*E31</f>
        <v>1800</v>
      </c>
      <c r="J31" s="195" t="str">
        <f t="shared" si="0"/>
        <v>-</v>
      </c>
      <c r="K31" s="196" t="str">
        <f t="shared" si="0"/>
        <v>-</v>
      </c>
      <c r="L31" s="85">
        <v>0</v>
      </c>
      <c r="M31" s="82">
        <v>0</v>
      </c>
      <c r="N31" s="77" t="str">
        <f t="shared" si="1"/>
        <v>-</v>
      </c>
      <c r="O31" s="88" t="str">
        <f t="shared" si="2"/>
        <v>-</v>
      </c>
      <c r="P31" s="85">
        <v>0</v>
      </c>
      <c r="Q31" s="82">
        <v>0</v>
      </c>
      <c r="R31" s="185"/>
    </row>
    <row r="32" spans="1:18">
      <c r="A32" s="268"/>
      <c r="B32" s="259"/>
      <c r="C32" s="263"/>
      <c r="D32" s="250" t="s">
        <v>16</v>
      </c>
      <c r="E32" s="251"/>
      <c r="F32" s="65">
        <f>SUM(F29:F31)</f>
        <v>13</v>
      </c>
      <c r="G32" s="151">
        <f>SUM(G29:G31)</f>
        <v>6120</v>
      </c>
      <c r="H32" s="164">
        <f>SUM(H29:H31)</f>
        <v>36</v>
      </c>
      <c r="I32" s="165">
        <f>SUM(I29:I31)</f>
        <v>17280</v>
      </c>
      <c r="J32" s="209">
        <f t="shared" si="0"/>
        <v>0.16129032258064524</v>
      </c>
      <c r="K32" s="210">
        <f t="shared" si="0"/>
        <v>0.1707317073170731</v>
      </c>
      <c r="L32" s="65">
        <f>SUM(L29:L31)</f>
        <v>31</v>
      </c>
      <c r="M32" s="74">
        <f>SUM(M29:M31)</f>
        <v>14760</v>
      </c>
      <c r="N32" s="78">
        <f t="shared" si="1"/>
        <v>-0.6210526315789473</v>
      </c>
      <c r="O32" s="89">
        <f t="shared" si="2"/>
        <v>-0.6210526315789473</v>
      </c>
      <c r="P32" s="65">
        <f>SUM(P29:P31)</f>
        <v>95</v>
      </c>
      <c r="Q32" s="74">
        <f>SUM(Q29:Q31)</f>
        <v>45600</v>
      </c>
      <c r="R32" s="185"/>
    </row>
    <row r="33" spans="1:18">
      <c r="A33" s="269"/>
      <c r="B33" s="260"/>
      <c r="C33" s="255" t="s">
        <v>20</v>
      </c>
      <c r="D33" s="256"/>
      <c r="E33" s="257"/>
      <c r="F33" s="102">
        <f>SUM(F28,F32)</f>
        <v>13</v>
      </c>
      <c r="G33" s="159">
        <f>SUM(G28,G32)</f>
        <v>6120</v>
      </c>
      <c r="H33" s="175">
        <f>H32+H28</f>
        <v>42</v>
      </c>
      <c r="I33" s="176">
        <f>I32+I28</f>
        <v>18790</v>
      </c>
      <c r="J33" s="211">
        <f t="shared" si="0"/>
        <v>7.6923076923076872E-2</v>
      </c>
      <c r="K33" s="212">
        <f t="shared" si="0"/>
        <v>0.15916101172115971</v>
      </c>
      <c r="L33" s="102">
        <f>L32+L28</f>
        <v>39</v>
      </c>
      <c r="M33" s="119">
        <f>M32+M28</f>
        <v>16210</v>
      </c>
      <c r="N33" s="122">
        <f t="shared" si="1"/>
        <v>-0.65289256198347112</v>
      </c>
      <c r="O33" s="126">
        <f t="shared" si="2"/>
        <v>-0.6292423046566693</v>
      </c>
      <c r="P33" s="102">
        <f>SUM(P28,P32)</f>
        <v>121</v>
      </c>
      <c r="Q33" s="119">
        <f>SUM(Q28,Q32)</f>
        <v>50680</v>
      </c>
      <c r="R33" s="191"/>
    </row>
    <row r="34" spans="1:18">
      <c r="A34" s="239" t="s">
        <v>28</v>
      </c>
      <c r="B34" s="240"/>
      <c r="C34" s="240"/>
      <c r="D34" s="240"/>
      <c r="E34" s="241"/>
      <c r="F34" s="97">
        <f>F15+F24+F33</f>
        <v>15</v>
      </c>
      <c r="G34" s="158">
        <f>G15+G24+G33</f>
        <v>7480</v>
      </c>
      <c r="H34" s="173">
        <f>H15+H24+H33</f>
        <v>54</v>
      </c>
      <c r="I34" s="174">
        <f>I15+I24+I33</f>
        <v>26360</v>
      </c>
      <c r="J34" s="207">
        <f t="shared" si="0"/>
        <v>-8.4745762711864403E-2</v>
      </c>
      <c r="K34" s="208">
        <f t="shared" si="0"/>
        <v>-2.3703703703703671E-2</v>
      </c>
      <c r="L34" s="97">
        <f>L15+L24+L33</f>
        <v>59</v>
      </c>
      <c r="M34" s="118">
        <f>M15+M24+M33</f>
        <v>27000</v>
      </c>
      <c r="N34" s="121">
        <f t="shared" si="1"/>
        <v>-0.75</v>
      </c>
      <c r="O34" s="125">
        <f t="shared" si="2"/>
        <v>-0.72607295022342311</v>
      </c>
      <c r="P34" s="97">
        <f>P33+P24+P15</f>
        <v>216</v>
      </c>
      <c r="Q34" s="118">
        <f>Q33+Q24+Q15</f>
        <v>96230</v>
      </c>
      <c r="R34" s="185"/>
    </row>
    <row r="35" spans="1:18">
      <c r="A35" s="273" t="s">
        <v>46</v>
      </c>
      <c r="B35" s="276" t="s">
        <v>29</v>
      </c>
      <c r="C35" s="278" t="s">
        <v>30</v>
      </c>
      <c r="D35" s="193" t="s">
        <v>19</v>
      </c>
      <c r="E35" s="104">
        <v>990</v>
      </c>
      <c r="F35" s="98">
        <v>3</v>
      </c>
      <c r="G35" s="154">
        <f>F35*E35</f>
        <v>2970</v>
      </c>
      <c r="H35" s="17">
        <v>13</v>
      </c>
      <c r="I35" s="18">
        <f>H35*E35</f>
        <v>12870</v>
      </c>
      <c r="J35" s="205">
        <f t="shared" si="0"/>
        <v>2.25</v>
      </c>
      <c r="K35" s="206">
        <f t="shared" si="0"/>
        <v>1.6812499999999999</v>
      </c>
      <c r="L35" s="98">
        <v>4</v>
      </c>
      <c r="M35" s="114">
        <v>4800</v>
      </c>
      <c r="N35" s="19">
        <f t="shared" si="1"/>
        <v>0.30000000000000004</v>
      </c>
      <c r="O35" s="87">
        <f t="shared" si="2"/>
        <v>-0.10624999999999996</v>
      </c>
      <c r="P35" s="98">
        <v>10</v>
      </c>
      <c r="Q35" s="114">
        <v>14400</v>
      </c>
      <c r="R35" s="186"/>
    </row>
    <row r="36" spans="1:18">
      <c r="A36" s="274"/>
      <c r="B36" s="277"/>
      <c r="C36" s="279"/>
      <c r="D36" s="280" t="s">
        <v>16</v>
      </c>
      <c r="E36" s="281"/>
      <c r="F36" s="99">
        <f>F35</f>
        <v>3</v>
      </c>
      <c r="G36" s="155">
        <f>G35</f>
        <v>2970</v>
      </c>
      <c r="H36" s="170">
        <f>H35</f>
        <v>13</v>
      </c>
      <c r="I36" s="171">
        <f>I35</f>
        <v>12870</v>
      </c>
      <c r="J36" s="209">
        <f t="shared" si="0"/>
        <v>2.25</v>
      </c>
      <c r="K36" s="210">
        <f t="shared" si="0"/>
        <v>1.6812499999999999</v>
      </c>
      <c r="L36" s="99">
        <f>L35</f>
        <v>4</v>
      </c>
      <c r="M36" s="115">
        <f>M35</f>
        <v>4800</v>
      </c>
      <c r="N36" s="78">
        <f t="shared" si="1"/>
        <v>0.30000000000000004</v>
      </c>
      <c r="O36" s="89">
        <f t="shared" si="2"/>
        <v>-0.10624999999999996</v>
      </c>
      <c r="P36" s="99">
        <f>SUM(P35)</f>
        <v>10</v>
      </c>
      <c r="Q36" s="115">
        <f>SUM(Q35)</f>
        <v>14400</v>
      </c>
      <c r="R36" s="186"/>
    </row>
    <row r="37" spans="1:18" ht="16.5" hidden="1" customHeight="1">
      <c r="A37" s="274"/>
      <c r="B37" s="278" t="s">
        <v>31</v>
      </c>
      <c r="C37" s="273" t="s">
        <v>32</v>
      </c>
      <c r="D37" s="217" t="s">
        <v>33</v>
      </c>
      <c r="E37" s="106">
        <v>50</v>
      </c>
      <c r="F37" s="100"/>
      <c r="G37" s="156"/>
      <c r="H37" s="21"/>
      <c r="I37" s="28"/>
      <c r="J37" s="197" t="str">
        <f t="shared" si="0"/>
        <v>-</v>
      </c>
      <c r="K37" s="198" t="str">
        <f t="shared" si="0"/>
        <v>-</v>
      </c>
      <c r="L37" s="100"/>
      <c r="M37" s="116"/>
      <c r="N37" s="9">
        <f t="shared" si="1"/>
        <v>-1</v>
      </c>
      <c r="O37" s="90">
        <f t="shared" si="2"/>
        <v>-1</v>
      </c>
      <c r="P37" s="100">
        <v>6</v>
      </c>
      <c r="Q37" s="116">
        <v>300</v>
      </c>
      <c r="R37" s="186"/>
    </row>
    <row r="38" spans="1:18" ht="16.5" hidden="1" customHeight="1">
      <c r="A38" s="274"/>
      <c r="B38" s="282"/>
      <c r="C38" s="274"/>
      <c r="D38" s="218" t="s">
        <v>34</v>
      </c>
      <c r="E38" s="107">
        <v>100</v>
      </c>
      <c r="F38" s="101"/>
      <c r="G38" s="157"/>
      <c r="H38" s="20"/>
      <c r="I38" s="172"/>
      <c r="J38" s="195" t="str">
        <f t="shared" si="0"/>
        <v>-</v>
      </c>
      <c r="K38" s="196" t="str">
        <f t="shared" si="0"/>
        <v>-</v>
      </c>
      <c r="L38" s="101"/>
      <c r="M38" s="117"/>
      <c r="N38" s="77">
        <f t="shared" si="1"/>
        <v>-1</v>
      </c>
      <c r="O38" s="88">
        <f t="shared" si="2"/>
        <v>-1</v>
      </c>
      <c r="P38" s="101">
        <v>3</v>
      </c>
      <c r="Q38" s="117">
        <v>300</v>
      </c>
      <c r="R38" s="186"/>
    </row>
    <row r="39" spans="1:18" ht="16.5" hidden="1" customHeight="1">
      <c r="A39" s="274"/>
      <c r="B39" s="282"/>
      <c r="C39" s="274"/>
      <c r="D39" s="218" t="s">
        <v>18</v>
      </c>
      <c r="E39" s="107">
        <v>150</v>
      </c>
      <c r="F39" s="101"/>
      <c r="G39" s="157"/>
      <c r="H39" s="20"/>
      <c r="I39" s="172"/>
      <c r="J39" s="195" t="str">
        <f t="shared" si="0"/>
        <v>-</v>
      </c>
      <c r="K39" s="196" t="str">
        <f t="shared" si="0"/>
        <v>-</v>
      </c>
      <c r="L39" s="101"/>
      <c r="M39" s="117"/>
      <c r="N39" s="77">
        <f t="shared" ref="N39:N70" si="3">IFERROR(H39/P39-1,"-")</f>
        <v>-1</v>
      </c>
      <c r="O39" s="88">
        <f t="shared" ref="O39:O70" si="4">IFERROR(I39/Q39-1,"-")</f>
        <v>-1</v>
      </c>
      <c r="P39" s="101">
        <v>1</v>
      </c>
      <c r="Q39" s="117">
        <v>150</v>
      </c>
      <c r="R39" s="186"/>
    </row>
    <row r="40" spans="1:18" ht="16.5" hidden="1" customHeight="1">
      <c r="A40" s="274"/>
      <c r="B40" s="282"/>
      <c r="C40" s="274"/>
      <c r="D40" s="218" t="s">
        <v>19</v>
      </c>
      <c r="E40" s="107">
        <v>200</v>
      </c>
      <c r="F40" s="101"/>
      <c r="G40" s="157"/>
      <c r="H40" s="20"/>
      <c r="I40" s="172"/>
      <c r="J40" s="195" t="str">
        <f t="shared" si="0"/>
        <v>-</v>
      </c>
      <c r="K40" s="196" t="str">
        <f t="shared" si="0"/>
        <v>-</v>
      </c>
      <c r="L40" s="101"/>
      <c r="M40" s="117"/>
      <c r="N40" s="77">
        <f t="shared" si="3"/>
        <v>-1</v>
      </c>
      <c r="O40" s="88">
        <f t="shared" si="4"/>
        <v>-1</v>
      </c>
      <c r="P40" s="101">
        <v>1</v>
      </c>
      <c r="Q40" s="117">
        <v>200</v>
      </c>
      <c r="R40" s="186"/>
    </row>
    <row r="41" spans="1:18" ht="16.5" hidden="1" customHeight="1">
      <c r="A41" s="274"/>
      <c r="B41" s="282"/>
      <c r="C41" s="274"/>
      <c r="D41" s="218" t="s">
        <v>38</v>
      </c>
      <c r="E41" s="107">
        <v>250</v>
      </c>
      <c r="F41" s="101"/>
      <c r="G41" s="157"/>
      <c r="H41" s="20"/>
      <c r="I41" s="172"/>
      <c r="J41" s="195" t="str">
        <f t="shared" si="0"/>
        <v>-</v>
      </c>
      <c r="K41" s="196" t="str">
        <f t="shared" si="0"/>
        <v>-</v>
      </c>
      <c r="L41" s="101"/>
      <c r="M41" s="117"/>
      <c r="N41" s="77" t="str">
        <f t="shared" si="3"/>
        <v>-</v>
      </c>
      <c r="O41" s="88" t="str">
        <f t="shared" si="4"/>
        <v>-</v>
      </c>
      <c r="P41" s="101">
        <v>0</v>
      </c>
      <c r="Q41" s="117">
        <v>0</v>
      </c>
      <c r="R41" s="186"/>
    </row>
    <row r="42" spans="1:18" ht="16.5" hidden="1" customHeight="1">
      <c r="A42" s="275"/>
      <c r="B42" s="283"/>
      <c r="C42" s="275"/>
      <c r="D42" s="216" t="s">
        <v>16</v>
      </c>
      <c r="E42" s="105">
        <v>0</v>
      </c>
      <c r="F42" s="99"/>
      <c r="G42" s="155"/>
      <c r="H42" s="170"/>
      <c r="I42" s="171"/>
      <c r="J42" s="209" t="str">
        <f t="shared" si="0"/>
        <v>-</v>
      </c>
      <c r="K42" s="210" t="str">
        <f t="shared" si="0"/>
        <v>-</v>
      </c>
      <c r="L42" s="99"/>
      <c r="M42" s="115"/>
      <c r="N42" s="78">
        <f t="shared" si="3"/>
        <v>-1</v>
      </c>
      <c r="O42" s="89">
        <f t="shared" si="4"/>
        <v>-1</v>
      </c>
      <c r="P42" s="99">
        <f>SUM(P37:P41)</f>
        <v>11</v>
      </c>
      <c r="Q42" s="115">
        <f>SUM(Q37:Q41)</f>
        <v>950</v>
      </c>
      <c r="R42" s="192"/>
    </row>
    <row r="43" spans="1:18">
      <c r="A43" s="376" t="s">
        <v>47</v>
      </c>
      <c r="B43" s="377"/>
      <c r="C43" s="377"/>
      <c r="D43" s="377"/>
      <c r="E43" s="390"/>
      <c r="F43" s="97">
        <f>F42+F36</f>
        <v>3</v>
      </c>
      <c r="G43" s="158">
        <f>G42+G36</f>
        <v>2970</v>
      </c>
      <c r="H43" s="173">
        <f>H42+H36</f>
        <v>13</v>
      </c>
      <c r="I43" s="174">
        <f>I42+I36</f>
        <v>12870</v>
      </c>
      <c r="J43" s="207">
        <f t="shared" si="0"/>
        <v>2.25</v>
      </c>
      <c r="K43" s="208">
        <f t="shared" si="0"/>
        <v>1.6812499999999999</v>
      </c>
      <c r="L43" s="97">
        <f>L42+L36</f>
        <v>4</v>
      </c>
      <c r="M43" s="118">
        <f>M42+M36</f>
        <v>4800</v>
      </c>
      <c r="N43" s="121">
        <f t="shared" si="3"/>
        <v>-0.38095238095238093</v>
      </c>
      <c r="O43" s="125">
        <f t="shared" si="4"/>
        <v>-0.16156351791530943</v>
      </c>
      <c r="P43" s="97">
        <f>P42+P36</f>
        <v>21</v>
      </c>
      <c r="Q43" s="118">
        <f>Q42+Q36</f>
        <v>15350</v>
      </c>
      <c r="R43" s="186"/>
    </row>
    <row r="44" spans="1:18" ht="16.5" hidden="1" customHeight="1">
      <c r="A44" s="267" t="s">
        <v>48</v>
      </c>
      <c r="B44" s="258" t="s">
        <v>11</v>
      </c>
      <c r="C44" s="261" t="s">
        <v>12</v>
      </c>
      <c r="D44" s="213" t="s">
        <v>13</v>
      </c>
      <c r="E44" s="68">
        <v>275</v>
      </c>
      <c r="F44" s="13">
        <v>0</v>
      </c>
      <c r="G44" s="14">
        <f>F44*E44</f>
        <v>0</v>
      </c>
      <c r="H44" s="15">
        <f>F44</f>
        <v>0</v>
      </c>
      <c r="I44" s="16">
        <f>H44*E44</f>
        <v>0</v>
      </c>
      <c r="J44" s="205" t="str">
        <f t="shared" si="0"/>
        <v>-</v>
      </c>
      <c r="K44" s="206" t="str">
        <f t="shared" si="0"/>
        <v>-</v>
      </c>
      <c r="L44" s="84"/>
      <c r="M44" s="81"/>
      <c r="N44" s="19">
        <f t="shared" si="3"/>
        <v>-1</v>
      </c>
      <c r="O44" s="87">
        <f t="shared" si="4"/>
        <v>-1</v>
      </c>
      <c r="P44" s="84">
        <v>3</v>
      </c>
      <c r="Q44" s="81">
        <v>650</v>
      </c>
      <c r="R44" s="187"/>
    </row>
    <row r="45" spans="1:18" ht="16.5" hidden="1" customHeight="1">
      <c r="A45" s="268"/>
      <c r="B45" s="259"/>
      <c r="C45" s="262"/>
      <c r="D45" s="214" t="s">
        <v>15</v>
      </c>
      <c r="E45" s="69">
        <v>180</v>
      </c>
      <c r="F45" s="12"/>
      <c r="G45" s="150"/>
      <c r="H45" s="10">
        <v>0</v>
      </c>
      <c r="I45" s="11">
        <f>H45*E45</f>
        <v>0</v>
      </c>
      <c r="J45" s="195" t="str">
        <f t="shared" si="0"/>
        <v>-</v>
      </c>
      <c r="K45" s="196" t="str">
        <f t="shared" si="0"/>
        <v>-</v>
      </c>
      <c r="L45" s="85"/>
      <c r="M45" s="82"/>
      <c r="N45" s="77" t="str">
        <f t="shared" si="3"/>
        <v>-</v>
      </c>
      <c r="O45" s="88" t="str">
        <f t="shared" si="4"/>
        <v>-</v>
      </c>
      <c r="P45" s="85">
        <v>0</v>
      </c>
      <c r="Q45" s="82">
        <v>0</v>
      </c>
      <c r="R45" s="187"/>
    </row>
    <row r="46" spans="1:18" ht="16.5" hidden="1" customHeight="1">
      <c r="A46" s="268"/>
      <c r="B46" s="259"/>
      <c r="C46" s="262"/>
      <c r="D46" s="214" t="s">
        <v>37</v>
      </c>
      <c r="E46" s="69">
        <v>420</v>
      </c>
      <c r="F46" s="12">
        <v>0</v>
      </c>
      <c r="G46" s="150">
        <f>F46*E46</f>
        <v>0</v>
      </c>
      <c r="H46" s="10">
        <v>0</v>
      </c>
      <c r="I46" s="11">
        <f>H46*E46</f>
        <v>0</v>
      </c>
      <c r="J46" s="195" t="str">
        <f t="shared" si="0"/>
        <v>-</v>
      </c>
      <c r="K46" s="196" t="str">
        <f t="shared" si="0"/>
        <v>-</v>
      </c>
      <c r="L46" s="85"/>
      <c r="M46" s="82"/>
      <c r="N46" s="77" t="str">
        <f t="shared" si="3"/>
        <v>-</v>
      </c>
      <c r="O46" s="88" t="str">
        <f t="shared" si="4"/>
        <v>-</v>
      </c>
      <c r="P46" s="85">
        <v>0</v>
      </c>
      <c r="Q46" s="82">
        <v>0</v>
      </c>
      <c r="R46" s="186"/>
    </row>
    <row r="47" spans="1:18" ht="16.5" hidden="1" customHeight="1">
      <c r="A47" s="268"/>
      <c r="B47" s="259"/>
      <c r="C47" s="263"/>
      <c r="D47" s="250" t="s">
        <v>16</v>
      </c>
      <c r="E47" s="251"/>
      <c r="F47" s="65">
        <f>SUM(F44:F46)</f>
        <v>0</v>
      </c>
      <c r="G47" s="151">
        <f>SUM(G44:G46)</f>
        <v>0</v>
      </c>
      <c r="H47" s="164">
        <f>SUM(H44:H46)</f>
        <v>0</v>
      </c>
      <c r="I47" s="165">
        <f>SUM(I44:I46)</f>
        <v>0</v>
      </c>
      <c r="J47" s="209" t="str">
        <f t="shared" si="0"/>
        <v>-</v>
      </c>
      <c r="K47" s="210" t="str">
        <f t="shared" si="0"/>
        <v>-</v>
      </c>
      <c r="L47" s="65">
        <f>SUM(L44:L46)</f>
        <v>0</v>
      </c>
      <c r="M47" s="74">
        <f>SUM(M44:M46)</f>
        <v>0</v>
      </c>
      <c r="N47" s="78">
        <f t="shared" si="3"/>
        <v>-1</v>
      </c>
      <c r="O47" s="89">
        <f t="shared" si="4"/>
        <v>-1</v>
      </c>
      <c r="P47" s="65">
        <f>SUM(P44:P46)</f>
        <v>3</v>
      </c>
      <c r="Q47" s="74">
        <f>SUM(Q44:Q46)</f>
        <v>650</v>
      </c>
      <c r="R47" s="186"/>
    </row>
    <row r="48" spans="1:18" ht="16.5" hidden="1" customHeight="1">
      <c r="A48" s="268"/>
      <c r="B48" s="259"/>
      <c r="C48" s="261" t="s">
        <v>17</v>
      </c>
      <c r="D48" s="215" t="s">
        <v>18</v>
      </c>
      <c r="E48" s="70">
        <v>550</v>
      </c>
      <c r="F48" s="5"/>
      <c r="G48" s="6">
        <f>F48*E48</f>
        <v>0</v>
      </c>
      <c r="H48" s="7"/>
      <c r="I48" s="8">
        <f>H48*E48</f>
        <v>0</v>
      </c>
      <c r="J48" s="197" t="str">
        <f t="shared" si="0"/>
        <v>-</v>
      </c>
      <c r="K48" s="198" t="str">
        <f t="shared" si="0"/>
        <v>-</v>
      </c>
      <c r="L48" s="86"/>
      <c r="M48" s="83"/>
      <c r="N48" s="9">
        <f t="shared" si="3"/>
        <v>-1</v>
      </c>
      <c r="O48" s="90">
        <f t="shared" si="4"/>
        <v>-1</v>
      </c>
      <c r="P48" s="86">
        <v>1</v>
      </c>
      <c r="Q48" s="83">
        <v>720</v>
      </c>
      <c r="R48" s="186"/>
    </row>
    <row r="49" spans="1:18" ht="16.5" hidden="1" customHeight="1">
      <c r="A49" s="268"/>
      <c r="B49" s="259"/>
      <c r="C49" s="262"/>
      <c r="D49" s="214" t="s">
        <v>19</v>
      </c>
      <c r="E49" s="69">
        <v>675</v>
      </c>
      <c r="F49" s="12"/>
      <c r="G49" s="150"/>
      <c r="H49" s="10">
        <v>0</v>
      </c>
      <c r="I49" s="11">
        <f>H49*E49</f>
        <v>0</v>
      </c>
      <c r="J49" s="195" t="str">
        <f t="shared" si="0"/>
        <v>-</v>
      </c>
      <c r="K49" s="196" t="str">
        <f t="shared" si="0"/>
        <v>-</v>
      </c>
      <c r="L49" s="85"/>
      <c r="M49" s="82"/>
      <c r="N49" s="77">
        <f t="shared" si="3"/>
        <v>-1</v>
      </c>
      <c r="O49" s="88">
        <f t="shared" si="4"/>
        <v>-1</v>
      </c>
      <c r="P49" s="85">
        <v>1</v>
      </c>
      <c r="Q49" s="82">
        <v>880</v>
      </c>
      <c r="R49" s="186"/>
    </row>
    <row r="50" spans="1:18" ht="16.5" hidden="1" customHeight="1">
      <c r="A50" s="268"/>
      <c r="B50" s="259"/>
      <c r="C50" s="262"/>
      <c r="D50" s="214" t="s">
        <v>38</v>
      </c>
      <c r="E50" s="69">
        <v>810</v>
      </c>
      <c r="F50" s="12">
        <v>0</v>
      </c>
      <c r="G50" s="150">
        <f>F50*E50</f>
        <v>0</v>
      </c>
      <c r="H50" s="10">
        <v>0</v>
      </c>
      <c r="I50" s="11">
        <f>H50*E50</f>
        <v>0</v>
      </c>
      <c r="J50" s="195" t="str">
        <f t="shared" si="0"/>
        <v>-</v>
      </c>
      <c r="K50" s="196" t="str">
        <f t="shared" si="0"/>
        <v>-</v>
      </c>
      <c r="L50" s="85"/>
      <c r="M50" s="82"/>
      <c r="N50" s="77" t="str">
        <f t="shared" si="3"/>
        <v>-</v>
      </c>
      <c r="O50" s="88" t="str">
        <f t="shared" si="4"/>
        <v>-</v>
      </c>
      <c r="P50" s="85">
        <v>0</v>
      </c>
      <c r="Q50" s="82">
        <v>0</v>
      </c>
      <c r="R50" s="186"/>
    </row>
    <row r="51" spans="1:18" ht="16.5" hidden="1" customHeight="1">
      <c r="A51" s="268"/>
      <c r="B51" s="259"/>
      <c r="C51" s="263"/>
      <c r="D51" s="250" t="s">
        <v>16</v>
      </c>
      <c r="E51" s="251"/>
      <c r="F51" s="65">
        <f>SUM(F48:F50)</f>
        <v>0</v>
      </c>
      <c r="G51" s="151">
        <f>SUM(G48:G50)</f>
        <v>0</v>
      </c>
      <c r="H51" s="164">
        <f>SUM(H48:H50)</f>
        <v>0</v>
      </c>
      <c r="I51" s="165">
        <f>SUM(I48:I50)</f>
        <v>0</v>
      </c>
      <c r="J51" s="209" t="str">
        <f t="shared" si="0"/>
        <v>-</v>
      </c>
      <c r="K51" s="210" t="str">
        <f t="shared" si="0"/>
        <v>-</v>
      </c>
      <c r="L51" s="65">
        <f>SUM(L48:L50)</f>
        <v>0</v>
      </c>
      <c r="M51" s="74">
        <f>SUM(M48:M50)</f>
        <v>0</v>
      </c>
      <c r="N51" s="78">
        <f t="shared" si="3"/>
        <v>-1</v>
      </c>
      <c r="O51" s="89">
        <f t="shared" si="4"/>
        <v>-1</v>
      </c>
      <c r="P51" s="65">
        <f>SUM(P48:P50)</f>
        <v>2</v>
      </c>
      <c r="Q51" s="74">
        <f>SUM(Q48:Q50)</f>
        <v>1600</v>
      </c>
      <c r="R51" s="186"/>
    </row>
    <row r="52" spans="1:18" ht="16.5" hidden="1" customHeight="1">
      <c r="A52" s="268"/>
      <c r="B52" s="260"/>
      <c r="C52" s="270" t="s">
        <v>20</v>
      </c>
      <c r="D52" s="271"/>
      <c r="E52" s="272"/>
      <c r="F52" s="102">
        <f>SUM(F47,F51)</f>
        <v>0</v>
      </c>
      <c r="G52" s="159">
        <f>SUM(G47,G51)</f>
        <v>0</v>
      </c>
      <c r="H52" s="175">
        <f>H51+H47</f>
        <v>0</v>
      </c>
      <c r="I52" s="176">
        <f>I51+I47</f>
        <v>0</v>
      </c>
      <c r="J52" s="211" t="str">
        <f t="shared" si="0"/>
        <v>-</v>
      </c>
      <c r="K52" s="212" t="str">
        <f t="shared" si="0"/>
        <v>-</v>
      </c>
      <c r="L52" s="102">
        <f>L51+L47</f>
        <v>0</v>
      </c>
      <c r="M52" s="119">
        <f>M51+M47</f>
        <v>0</v>
      </c>
      <c r="N52" s="122">
        <f t="shared" si="3"/>
        <v>-1</v>
      </c>
      <c r="O52" s="126">
        <f t="shared" si="4"/>
        <v>-1</v>
      </c>
      <c r="P52" s="102">
        <f>P51+P47</f>
        <v>5</v>
      </c>
      <c r="Q52" s="119">
        <f>Q51+Q47</f>
        <v>2250</v>
      </c>
      <c r="R52" s="186"/>
    </row>
    <row r="53" spans="1:18" ht="16.5" hidden="1" customHeight="1">
      <c r="A53" s="268"/>
      <c r="B53" s="258" t="s">
        <v>21</v>
      </c>
      <c r="C53" s="252" t="s">
        <v>12</v>
      </c>
      <c r="D53" s="215" t="s">
        <v>13</v>
      </c>
      <c r="E53" s="70">
        <v>190</v>
      </c>
      <c r="F53" s="5">
        <v>0</v>
      </c>
      <c r="G53" s="6">
        <f>F53*E53</f>
        <v>0</v>
      </c>
      <c r="H53" s="7">
        <v>0</v>
      </c>
      <c r="I53" s="8">
        <f>H53*E53</f>
        <v>0</v>
      </c>
      <c r="J53" s="197" t="str">
        <f t="shared" si="0"/>
        <v>-</v>
      </c>
      <c r="K53" s="198" t="str">
        <f t="shared" si="0"/>
        <v>-</v>
      </c>
      <c r="L53" s="86"/>
      <c r="M53" s="83"/>
      <c r="N53" s="9" t="str">
        <f t="shared" si="3"/>
        <v>-</v>
      </c>
      <c r="O53" s="90" t="str">
        <f t="shared" si="4"/>
        <v>-</v>
      </c>
      <c r="P53" s="86">
        <v>0</v>
      </c>
      <c r="Q53" s="83">
        <v>0</v>
      </c>
      <c r="R53" s="188"/>
    </row>
    <row r="54" spans="1:18" ht="16.5" hidden="1" customHeight="1">
      <c r="A54" s="268"/>
      <c r="B54" s="259"/>
      <c r="C54" s="253"/>
      <c r="D54" s="214" t="s">
        <v>15</v>
      </c>
      <c r="E54" s="69">
        <v>120</v>
      </c>
      <c r="F54" s="12"/>
      <c r="G54" s="150"/>
      <c r="H54" s="10">
        <v>0</v>
      </c>
      <c r="I54" s="11">
        <f>H54*E54</f>
        <v>0</v>
      </c>
      <c r="J54" s="195" t="str">
        <f t="shared" si="0"/>
        <v>-</v>
      </c>
      <c r="K54" s="196" t="str">
        <f t="shared" si="0"/>
        <v>-</v>
      </c>
      <c r="L54" s="85"/>
      <c r="M54" s="82"/>
      <c r="N54" s="77" t="str">
        <f t="shared" si="3"/>
        <v>-</v>
      </c>
      <c r="O54" s="88" t="str">
        <f t="shared" si="4"/>
        <v>-</v>
      </c>
      <c r="P54" s="85">
        <v>0</v>
      </c>
      <c r="Q54" s="82">
        <v>0</v>
      </c>
      <c r="R54" s="188"/>
    </row>
    <row r="55" spans="1:18" ht="16.5" hidden="1" customHeight="1">
      <c r="A55" s="268"/>
      <c r="B55" s="259"/>
      <c r="C55" s="253"/>
      <c r="D55" s="214" t="s">
        <v>37</v>
      </c>
      <c r="E55" s="69">
        <v>300</v>
      </c>
      <c r="F55" s="12">
        <v>0</v>
      </c>
      <c r="G55" s="150">
        <f>F55*E55</f>
        <v>0</v>
      </c>
      <c r="H55" s="10">
        <v>0</v>
      </c>
      <c r="I55" s="11">
        <f>H55*E55</f>
        <v>0</v>
      </c>
      <c r="J55" s="195" t="str">
        <f t="shared" si="0"/>
        <v>-</v>
      </c>
      <c r="K55" s="196" t="str">
        <f t="shared" si="0"/>
        <v>-</v>
      </c>
      <c r="L55" s="85"/>
      <c r="M55" s="82"/>
      <c r="N55" s="77" t="str">
        <f t="shared" si="3"/>
        <v>-</v>
      </c>
      <c r="O55" s="88" t="str">
        <f t="shared" si="4"/>
        <v>-</v>
      </c>
      <c r="P55" s="85">
        <v>0</v>
      </c>
      <c r="Q55" s="82">
        <v>0</v>
      </c>
      <c r="R55" s="188"/>
    </row>
    <row r="56" spans="1:18" ht="16.5" hidden="1" customHeight="1">
      <c r="A56" s="268"/>
      <c r="B56" s="259"/>
      <c r="C56" s="254"/>
      <c r="D56" s="250" t="s">
        <v>16</v>
      </c>
      <c r="E56" s="251"/>
      <c r="F56" s="65">
        <f>SUM(F53:F55)</f>
        <v>0</v>
      </c>
      <c r="G56" s="151">
        <f>SUM(G53:G55)</f>
        <v>0</v>
      </c>
      <c r="H56" s="164">
        <f>SUM(H53:H55)</f>
        <v>0</v>
      </c>
      <c r="I56" s="165">
        <f>SUM(I53:I55)</f>
        <v>0</v>
      </c>
      <c r="J56" s="209" t="str">
        <f t="shared" si="0"/>
        <v>-</v>
      </c>
      <c r="K56" s="210" t="str">
        <f t="shared" si="0"/>
        <v>-</v>
      </c>
      <c r="L56" s="65">
        <f>SUM(L53:L55)</f>
        <v>0</v>
      </c>
      <c r="M56" s="74">
        <f>SUM(M53:M55)</f>
        <v>0</v>
      </c>
      <c r="N56" s="78" t="str">
        <f t="shared" si="3"/>
        <v>-</v>
      </c>
      <c r="O56" s="89" t="str">
        <f t="shared" si="4"/>
        <v>-</v>
      </c>
      <c r="P56" s="65">
        <f>SUM(P53:P55)</f>
        <v>0</v>
      </c>
      <c r="Q56" s="74">
        <f>SUM(Q53:Q55)</f>
        <v>0</v>
      </c>
      <c r="R56" s="188"/>
    </row>
    <row r="57" spans="1:18" ht="16.5" hidden="1" customHeight="1">
      <c r="A57" s="268"/>
      <c r="B57" s="259"/>
      <c r="C57" s="252" t="s">
        <v>17</v>
      </c>
      <c r="D57" s="215" t="s">
        <v>18</v>
      </c>
      <c r="E57" s="70">
        <v>440</v>
      </c>
      <c r="F57" s="5">
        <v>0</v>
      </c>
      <c r="G57" s="6">
        <f>F57*E57</f>
        <v>0</v>
      </c>
      <c r="H57" s="7">
        <v>0</v>
      </c>
      <c r="I57" s="8">
        <f>H57*E57</f>
        <v>0</v>
      </c>
      <c r="J57" s="197" t="str">
        <f t="shared" si="0"/>
        <v>-</v>
      </c>
      <c r="K57" s="198" t="str">
        <f t="shared" si="0"/>
        <v>-</v>
      </c>
      <c r="L57" s="86"/>
      <c r="M57" s="83"/>
      <c r="N57" s="9" t="str">
        <f t="shared" si="3"/>
        <v>-</v>
      </c>
      <c r="O57" s="90" t="str">
        <f t="shared" si="4"/>
        <v>-</v>
      </c>
      <c r="P57" s="86">
        <v>0</v>
      </c>
      <c r="Q57" s="83">
        <v>0</v>
      </c>
      <c r="R57" s="188"/>
    </row>
    <row r="58" spans="1:18" ht="16.5" hidden="1" customHeight="1">
      <c r="A58" s="268"/>
      <c r="B58" s="259"/>
      <c r="C58" s="253"/>
      <c r="D58" s="214" t="s">
        <v>19</v>
      </c>
      <c r="E58" s="69">
        <v>520</v>
      </c>
      <c r="F58" s="12">
        <v>0</v>
      </c>
      <c r="G58" s="150">
        <v>0</v>
      </c>
      <c r="H58" s="10">
        <v>0</v>
      </c>
      <c r="I58" s="11">
        <f>H58*E58</f>
        <v>0</v>
      </c>
      <c r="J58" s="195" t="str">
        <f t="shared" si="0"/>
        <v>-</v>
      </c>
      <c r="K58" s="196" t="str">
        <f t="shared" si="0"/>
        <v>-</v>
      </c>
      <c r="L58" s="85"/>
      <c r="M58" s="82"/>
      <c r="N58" s="77" t="str">
        <f t="shared" si="3"/>
        <v>-</v>
      </c>
      <c r="O58" s="88" t="str">
        <f t="shared" si="4"/>
        <v>-</v>
      </c>
      <c r="P58" s="85">
        <v>0</v>
      </c>
      <c r="Q58" s="82">
        <v>0</v>
      </c>
      <c r="R58" s="188"/>
    </row>
    <row r="59" spans="1:18" ht="16.5" hidden="1" customHeight="1">
      <c r="A59" s="268"/>
      <c r="B59" s="259"/>
      <c r="C59" s="253"/>
      <c r="D59" s="214" t="s">
        <v>38</v>
      </c>
      <c r="E59" s="69">
        <v>600</v>
      </c>
      <c r="F59" s="12">
        <v>0</v>
      </c>
      <c r="G59" s="150">
        <f>F59*E59</f>
        <v>0</v>
      </c>
      <c r="H59" s="10">
        <v>0</v>
      </c>
      <c r="I59" s="11">
        <f>H59*E59</f>
        <v>0</v>
      </c>
      <c r="J59" s="195" t="str">
        <f t="shared" si="0"/>
        <v>-</v>
      </c>
      <c r="K59" s="196" t="str">
        <f t="shared" si="0"/>
        <v>-</v>
      </c>
      <c r="L59" s="85"/>
      <c r="M59" s="82"/>
      <c r="N59" s="77" t="str">
        <f t="shared" si="3"/>
        <v>-</v>
      </c>
      <c r="O59" s="88" t="str">
        <f t="shared" si="4"/>
        <v>-</v>
      </c>
      <c r="P59" s="85">
        <v>0</v>
      </c>
      <c r="Q59" s="82">
        <v>0</v>
      </c>
      <c r="R59" s="188"/>
    </row>
    <row r="60" spans="1:18" ht="16.5" hidden="1" customHeight="1">
      <c r="A60" s="268"/>
      <c r="B60" s="259"/>
      <c r="C60" s="254"/>
      <c r="D60" s="250" t="s">
        <v>16</v>
      </c>
      <c r="E60" s="251"/>
      <c r="F60" s="65">
        <f>SUM(F57:F59)</f>
        <v>0</v>
      </c>
      <c r="G60" s="151">
        <f>SUM(G57:G59)</f>
        <v>0</v>
      </c>
      <c r="H60" s="164">
        <f>SUM(H57:H59)</f>
        <v>0</v>
      </c>
      <c r="I60" s="165">
        <f>SUM(I57:I59)</f>
        <v>0</v>
      </c>
      <c r="J60" s="209" t="str">
        <f t="shared" si="0"/>
        <v>-</v>
      </c>
      <c r="K60" s="210" t="str">
        <f t="shared" si="0"/>
        <v>-</v>
      </c>
      <c r="L60" s="65">
        <f>SUM(L57:L59)</f>
        <v>0</v>
      </c>
      <c r="M60" s="74">
        <f>SUM(M57:M59)</f>
        <v>0</v>
      </c>
      <c r="N60" s="78" t="str">
        <f t="shared" si="3"/>
        <v>-</v>
      </c>
      <c r="O60" s="89" t="str">
        <f t="shared" si="4"/>
        <v>-</v>
      </c>
      <c r="P60" s="65">
        <f>SUM(P57:P59)</f>
        <v>0</v>
      </c>
      <c r="Q60" s="74">
        <f>SUM(Q57:Q59)</f>
        <v>0</v>
      </c>
      <c r="R60" s="188"/>
    </row>
    <row r="61" spans="1:18" ht="16.5" hidden="1" customHeight="1">
      <c r="A61" s="268"/>
      <c r="B61" s="260"/>
      <c r="C61" s="255" t="s">
        <v>20</v>
      </c>
      <c r="D61" s="256"/>
      <c r="E61" s="257"/>
      <c r="F61" s="102">
        <f>SUM(F56,F60)</f>
        <v>0</v>
      </c>
      <c r="G61" s="159">
        <f>SUM(G56,G60)</f>
        <v>0</v>
      </c>
      <c r="H61" s="175">
        <f>H60+H56</f>
        <v>0</v>
      </c>
      <c r="I61" s="176">
        <f>I60+I56</f>
        <v>0</v>
      </c>
      <c r="J61" s="211" t="str">
        <f t="shared" si="0"/>
        <v>-</v>
      </c>
      <c r="K61" s="212" t="str">
        <f t="shared" si="0"/>
        <v>-</v>
      </c>
      <c r="L61" s="102">
        <f>L60+L56</f>
        <v>0</v>
      </c>
      <c r="M61" s="119">
        <f>M60+M56</f>
        <v>0</v>
      </c>
      <c r="N61" s="122" t="str">
        <f t="shared" si="3"/>
        <v>-</v>
      </c>
      <c r="O61" s="126" t="str">
        <f t="shared" si="4"/>
        <v>-</v>
      </c>
      <c r="P61" s="102">
        <f>SUM(P56,P60)</f>
        <v>0</v>
      </c>
      <c r="Q61" s="119">
        <f>SUM(Q56,Q60)</f>
        <v>0</v>
      </c>
      <c r="R61" s="188"/>
    </row>
    <row r="62" spans="1:18" ht="16.5" hidden="1" customHeight="1">
      <c r="A62" s="268"/>
      <c r="B62" s="258" t="s">
        <v>26</v>
      </c>
      <c r="C62" s="261" t="s">
        <v>12</v>
      </c>
      <c r="D62" s="215" t="s">
        <v>13</v>
      </c>
      <c r="E62" s="70">
        <v>190</v>
      </c>
      <c r="F62" s="5">
        <v>0</v>
      </c>
      <c r="G62" s="6">
        <f>F62*E62</f>
        <v>0</v>
      </c>
      <c r="H62" s="7">
        <v>0</v>
      </c>
      <c r="I62" s="8">
        <f>H62*E62</f>
        <v>0</v>
      </c>
      <c r="J62" s="197" t="str">
        <f t="shared" si="0"/>
        <v>-</v>
      </c>
      <c r="K62" s="198" t="str">
        <f t="shared" si="0"/>
        <v>-</v>
      </c>
      <c r="L62" s="86"/>
      <c r="M62" s="83"/>
      <c r="N62" s="9">
        <f t="shared" si="3"/>
        <v>-1</v>
      </c>
      <c r="O62" s="90">
        <f t="shared" si="4"/>
        <v>-1</v>
      </c>
      <c r="P62" s="86">
        <v>5</v>
      </c>
      <c r="Q62" s="83">
        <v>1020</v>
      </c>
      <c r="R62" s="188"/>
    </row>
    <row r="63" spans="1:18" ht="16.5" hidden="1" customHeight="1">
      <c r="A63" s="268"/>
      <c r="B63" s="259"/>
      <c r="C63" s="262"/>
      <c r="D63" s="214" t="s">
        <v>15</v>
      </c>
      <c r="E63" s="69">
        <v>120</v>
      </c>
      <c r="F63" s="12">
        <v>0</v>
      </c>
      <c r="G63" s="150">
        <v>0</v>
      </c>
      <c r="H63" s="10">
        <v>0</v>
      </c>
      <c r="I63" s="11">
        <f>H63*E63</f>
        <v>0</v>
      </c>
      <c r="J63" s="195" t="str">
        <f t="shared" si="0"/>
        <v>-</v>
      </c>
      <c r="K63" s="196" t="str">
        <f t="shared" si="0"/>
        <v>-</v>
      </c>
      <c r="L63" s="85"/>
      <c r="M63" s="82"/>
      <c r="N63" s="77" t="str">
        <f t="shared" si="3"/>
        <v>-</v>
      </c>
      <c r="O63" s="88" t="str">
        <f t="shared" si="4"/>
        <v>-</v>
      </c>
      <c r="P63" s="85">
        <v>0</v>
      </c>
      <c r="Q63" s="82">
        <v>0</v>
      </c>
      <c r="R63" s="188"/>
    </row>
    <row r="64" spans="1:18" ht="16.5" hidden="1" customHeight="1">
      <c r="A64" s="268"/>
      <c r="B64" s="259"/>
      <c r="C64" s="262"/>
      <c r="D64" s="214" t="s">
        <v>37</v>
      </c>
      <c r="E64" s="69">
        <v>300</v>
      </c>
      <c r="F64" s="12">
        <v>0</v>
      </c>
      <c r="G64" s="150">
        <f>F64*E64</f>
        <v>0</v>
      </c>
      <c r="H64" s="10">
        <v>0</v>
      </c>
      <c r="I64" s="11">
        <f>H64*E64</f>
        <v>0</v>
      </c>
      <c r="J64" s="195" t="str">
        <f t="shared" si="0"/>
        <v>-</v>
      </c>
      <c r="K64" s="196" t="str">
        <f t="shared" si="0"/>
        <v>-</v>
      </c>
      <c r="L64" s="85"/>
      <c r="M64" s="82"/>
      <c r="N64" s="77">
        <f t="shared" si="3"/>
        <v>-1</v>
      </c>
      <c r="O64" s="88">
        <f t="shared" si="4"/>
        <v>-1</v>
      </c>
      <c r="P64" s="85">
        <v>5</v>
      </c>
      <c r="Q64" s="82">
        <v>1800</v>
      </c>
      <c r="R64" s="188"/>
    </row>
    <row r="65" spans="1:18" ht="16.5" hidden="1" customHeight="1">
      <c r="A65" s="268"/>
      <c r="B65" s="259"/>
      <c r="C65" s="263"/>
      <c r="D65" s="250" t="s">
        <v>16</v>
      </c>
      <c r="E65" s="251"/>
      <c r="F65" s="65">
        <f>SUM(F62:F64)</f>
        <v>0</v>
      </c>
      <c r="G65" s="151">
        <f>SUM(G62:G64)</f>
        <v>0</v>
      </c>
      <c r="H65" s="164">
        <f>SUM(H62:H64)</f>
        <v>0</v>
      </c>
      <c r="I65" s="165">
        <f>SUM(I62:I64)</f>
        <v>0</v>
      </c>
      <c r="J65" s="209" t="str">
        <f t="shared" si="0"/>
        <v>-</v>
      </c>
      <c r="K65" s="210" t="str">
        <f t="shared" si="0"/>
        <v>-</v>
      </c>
      <c r="L65" s="65">
        <f>SUM(L62:L64)</f>
        <v>0</v>
      </c>
      <c r="M65" s="74">
        <f>SUM(M62:M64)</f>
        <v>0</v>
      </c>
      <c r="N65" s="78">
        <f t="shared" si="3"/>
        <v>-1</v>
      </c>
      <c r="O65" s="89">
        <f t="shared" si="4"/>
        <v>-1</v>
      </c>
      <c r="P65" s="65">
        <f>SUM(P62:P64)</f>
        <v>10</v>
      </c>
      <c r="Q65" s="74">
        <f>SUM(Q62:Q64)</f>
        <v>2820</v>
      </c>
      <c r="R65" s="188"/>
    </row>
    <row r="66" spans="1:18" ht="16.5" hidden="1" customHeight="1">
      <c r="A66" s="268"/>
      <c r="B66" s="259"/>
      <c r="C66" s="261" t="s">
        <v>17</v>
      </c>
      <c r="D66" s="215" t="s">
        <v>18</v>
      </c>
      <c r="E66" s="70">
        <v>440</v>
      </c>
      <c r="F66" s="5">
        <v>0</v>
      </c>
      <c r="G66" s="6">
        <f>F66*E66</f>
        <v>0</v>
      </c>
      <c r="H66" s="7">
        <v>0</v>
      </c>
      <c r="I66" s="8">
        <f>H66*E66</f>
        <v>0</v>
      </c>
      <c r="J66" s="197" t="str">
        <f t="shared" si="0"/>
        <v>-</v>
      </c>
      <c r="K66" s="198" t="str">
        <f t="shared" si="0"/>
        <v>-</v>
      </c>
      <c r="L66" s="86"/>
      <c r="M66" s="83"/>
      <c r="N66" s="9">
        <f t="shared" si="3"/>
        <v>-1</v>
      </c>
      <c r="O66" s="90">
        <f t="shared" si="4"/>
        <v>-1</v>
      </c>
      <c r="P66" s="86">
        <v>3</v>
      </c>
      <c r="Q66" s="83">
        <v>1770</v>
      </c>
      <c r="R66" s="188"/>
    </row>
    <row r="67" spans="1:18" ht="16.5" hidden="1" customHeight="1">
      <c r="A67" s="268"/>
      <c r="B67" s="259"/>
      <c r="C67" s="262"/>
      <c r="D67" s="214" t="s">
        <v>19</v>
      </c>
      <c r="E67" s="69">
        <v>520</v>
      </c>
      <c r="F67" s="12">
        <v>0</v>
      </c>
      <c r="G67" s="150">
        <v>0</v>
      </c>
      <c r="H67" s="10">
        <v>0</v>
      </c>
      <c r="I67" s="11">
        <f>H67*E67</f>
        <v>0</v>
      </c>
      <c r="J67" s="195" t="str">
        <f t="shared" si="0"/>
        <v>-</v>
      </c>
      <c r="K67" s="196" t="str">
        <f t="shared" si="0"/>
        <v>-</v>
      </c>
      <c r="L67" s="85"/>
      <c r="M67" s="82"/>
      <c r="N67" s="77">
        <f t="shared" si="3"/>
        <v>-1</v>
      </c>
      <c r="O67" s="88">
        <f t="shared" si="4"/>
        <v>-1</v>
      </c>
      <c r="P67" s="85">
        <v>3</v>
      </c>
      <c r="Q67" s="82">
        <v>2160</v>
      </c>
      <c r="R67" s="188"/>
    </row>
    <row r="68" spans="1:18" ht="16.5" hidden="1" customHeight="1">
      <c r="A68" s="268"/>
      <c r="B68" s="259"/>
      <c r="C68" s="262"/>
      <c r="D68" s="214" t="s">
        <v>38</v>
      </c>
      <c r="E68" s="69">
        <v>600</v>
      </c>
      <c r="F68" s="12">
        <v>0</v>
      </c>
      <c r="G68" s="150">
        <f>F68*E68</f>
        <v>0</v>
      </c>
      <c r="H68" s="10">
        <v>0</v>
      </c>
      <c r="I68" s="11">
        <f>H68*E68</f>
        <v>0</v>
      </c>
      <c r="J68" s="195" t="str">
        <f t="shared" si="0"/>
        <v>-</v>
      </c>
      <c r="K68" s="196" t="str">
        <f t="shared" si="0"/>
        <v>-</v>
      </c>
      <c r="L68" s="85"/>
      <c r="M68" s="82"/>
      <c r="N68" s="77" t="str">
        <f t="shared" si="3"/>
        <v>-</v>
      </c>
      <c r="O68" s="88" t="str">
        <f t="shared" si="4"/>
        <v>-</v>
      </c>
      <c r="P68" s="85">
        <v>0</v>
      </c>
      <c r="Q68" s="82">
        <v>0</v>
      </c>
      <c r="R68" s="188"/>
    </row>
    <row r="69" spans="1:18" ht="16.5" hidden="1" customHeight="1">
      <c r="A69" s="268"/>
      <c r="B69" s="259"/>
      <c r="C69" s="263"/>
      <c r="D69" s="250" t="s">
        <v>16</v>
      </c>
      <c r="E69" s="251"/>
      <c r="F69" s="65">
        <f>SUM(F66:F68)</f>
        <v>0</v>
      </c>
      <c r="G69" s="151">
        <f>SUM(G66:G68)</f>
        <v>0</v>
      </c>
      <c r="H69" s="164">
        <f>SUM(H66:H68)</f>
        <v>0</v>
      </c>
      <c r="I69" s="165">
        <f>SUM(I66:I68)</f>
        <v>0</v>
      </c>
      <c r="J69" s="209" t="str">
        <f t="shared" si="0"/>
        <v>-</v>
      </c>
      <c r="K69" s="210" t="str">
        <f t="shared" si="0"/>
        <v>-</v>
      </c>
      <c r="L69" s="65">
        <f>SUM(L66:L68)</f>
        <v>0</v>
      </c>
      <c r="M69" s="74">
        <f>SUM(M66:M68)</f>
        <v>0</v>
      </c>
      <c r="N69" s="78">
        <f t="shared" si="3"/>
        <v>-1</v>
      </c>
      <c r="O69" s="89">
        <f t="shared" si="4"/>
        <v>-1</v>
      </c>
      <c r="P69" s="65">
        <f>SUM(P66:P68)</f>
        <v>6</v>
      </c>
      <c r="Q69" s="74">
        <f>SUM(Q66:Q68)</f>
        <v>3930</v>
      </c>
      <c r="R69" s="188"/>
    </row>
    <row r="70" spans="1:18" ht="16.5" hidden="1" customHeight="1">
      <c r="A70" s="269"/>
      <c r="B70" s="260"/>
      <c r="C70" s="255" t="s">
        <v>20</v>
      </c>
      <c r="D70" s="256"/>
      <c r="E70" s="257"/>
      <c r="F70" s="102">
        <f>SUM(F65,F69)</f>
        <v>0</v>
      </c>
      <c r="G70" s="159">
        <f>SUM(G65,G69)</f>
        <v>0</v>
      </c>
      <c r="H70" s="175">
        <f>H69+H65</f>
        <v>0</v>
      </c>
      <c r="I70" s="176">
        <f>I69+I65</f>
        <v>0</v>
      </c>
      <c r="J70" s="211" t="str">
        <f t="shared" si="0"/>
        <v>-</v>
      </c>
      <c r="K70" s="212" t="str">
        <f t="shared" si="0"/>
        <v>-</v>
      </c>
      <c r="L70" s="102">
        <f>L69+L65</f>
        <v>0</v>
      </c>
      <c r="M70" s="119">
        <f>M69+M65</f>
        <v>0</v>
      </c>
      <c r="N70" s="122">
        <f t="shared" si="3"/>
        <v>-1</v>
      </c>
      <c r="O70" s="126">
        <f t="shared" si="4"/>
        <v>-1</v>
      </c>
      <c r="P70" s="102">
        <f>P69+P65</f>
        <v>16</v>
      </c>
      <c r="Q70" s="119">
        <f>Q69+Q65</f>
        <v>6750</v>
      </c>
      <c r="R70" s="188"/>
    </row>
    <row r="71" spans="1:18" ht="16.5" hidden="1" customHeight="1">
      <c r="A71" s="239" t="s">
        <v>49</v>
      </c>
      <c r="B71" s="240"/>
      <c r="C71" s="240"/>
      <c r="D71" s="240"/>
      <c r="E71" s="241"/>
      <c r="F71" s="97">
        <f>F70+F61+F52</f>
        <v>0</v>
      </c>
      <c r="G71" s="158">
        <f>G70+G61+G52</f>
        <v>0</v>
      </c>
      <c r="H71" s="173">
        <f>H70+H61+H52</f>
        <v>0</v>
      </c>
      <c r="I71" s="174">
        <f>I70+I61+I52</f>
        <v>0</v>
      </c>
      <c r="J71" s="207" t="str">
        <f t="shared" ref="J71:K83" si="5">IFERROR(H71/L71-1,"-")</f>
        <v>-</v>
      </c>
      <c r="K71" s="208" t="str">
        <f t="shared" si="5"/>
        <v>-</v>
      </c>
      <c r="L71" s="97">
        <f>L70+L61+L52</f>
        <v>0</v>
      </c>
      <c r="M71" s="118">
        <f>M70+M61+M52</f>
        <v>0</v>
      </c>
      <c r="N71" s="121">
        <f t="shared" ref="N71:N83" si="6">IFERROR(H71/P71-1,"-")</f>
        <v>-1</v>
      </c>
      <c r="O71" s="125">
        <f t="shared" ref="O71:O83" si="7">IFERROR(I71/Q71-1,"-")</f>
        <v>-1</v>
      </c>
      <c r="P71" s="97">
        <f>P70+P61+P52</f>
        <v>21</v>
      </c>
      <c r="Q71" s="118">
        <f>Q70+Q61+Q52</f>
        <v>9000</v>
      </c>
      <c r="R71" s="188"/>
    </row>
    <row r="72" spans="1:18" ht="16.5" hidden="1" customHeight="1">
      <c r="A72" s="242" t="s">
        <v>51</v>
      </c>
      <c r="B72" s="242" t="s">
        <v>50</v>
      </c>
      <c r="C72" s="245" t="s">
        <v>12</v>
      </c>
      <c r="D72" s="219" t="s">
        <v>52</v>
      </c>
      <c r="E72" s="109"/>
      <c r="F72" s="98"/>
      <c r="G72" s="154"/>
      <c r="H72" s="17"/>
      <c r="I72" s="18"/>
      <c r="J72" s="205" t="str">
        <f t="shared" si="5"/>
        <v>-</v>
      </c>
      <c r="K72" s="206" t="str">
        <f t="shared" si="5"/>
        <v>-</v>
      </c>
      <c r="L72" s="98"/>
      <c r="M72" s="114"/>
      <c r="N72" s="19">
        <f t="shared" si="6"/>
        <v>-1</v>
      </c>
      <c r="O72" s="87">
        <f t="shared" si="7"/>
        <v>-1</v>
      </c>
      <c r="P72" s="98">
        <v>15</v>
      </c>
      <c r="Q72" s="114">
        <f>1690+910</f>
        <v>2600</v>
      </c>
      <c r="R72" s="189"/>
    </row>
    <row r="73" spans="1:18" ht="16.5" hidden="1" customHeight="1">
      <c r="A73" s="243"/>
      <c r="B73" s="243"/>
      <c r="C73" s="246"/>
      <c r="D73" s="220" t="s">
        <v>53</v>
      </c>
      <c r="E73" s="110"/>
      <c r="F73" s="101"/>
      <c r="G73" s="157"/>
      <c r="H73" s="20"/>
      <c r="I73" s="172"/>
      <c r="J73" s="195" t="str">
        <f t="shared" si="5"/>
        <v>-</v>
      </c>
      <c r="K73" s="196" t="str">
        <f t="shared" si="5"/>
        <v>-</v>
      </c>
      <c r="L73" s="101"/>
      <c r="M73" s="117"/>
      <c r="N73" s="77" t="str">
        <f t="shared" si="6"/>
        <v>-</v>
      </c>
      <c r="O73" s="88" t="str">
        <f t="shared" si="7"/>
        <v>-</v>
      </c>
      <c r="P73" s="101">
        <v>0</v>
      </c>
      <c r="Q73" s="117">
        <v>0</v>
      </c>
      <c r="R73" s="189"/>
    </row>
    <row r="74" spans="1:18" ht="16.5" hidden="1" customHeight="1">
      <c r="A74" s="243"/>
      <c r="B74" s="243"/>
      <c r="C74" s="246"/>
      <c r="D74" s="220" t="s">
        <v>37</v>
      </c>
      <c r="E74" s="110"/>
      <c r="F74" s="101"/>
      <c r="G74" s="157"/>
      <c r="H74" s="20"/>
      <c r="I74" s="172"/>
      <c r="J74" s="195" t="str">
        <f t="shared" si="5"/>
        <v>-</v>
      </c>
      <c r="K74" s="196" t="str">
        <f t="shared" si="5"/>
        <v>-</v>
      </c>
      <c r="L74" s="101"/>
      <c r="M74" s="117"/>
      <c r="N74" s="77">
        <f t="shared" si="6"/>
        <v>-1</v>
      </c>
      <c r="O74" s="88">
        <f t="shared" si="7"/>
        <v>-1</v>
      </c>
      <c r="P74" s="101">
        <v>1</v>
      </c>
      <c r="Q74" s="117">
        <v>310</v>
      </c>
      <c r="R74" s="189"/>
    </row>
    <row r="75" spans="1:18" ht="16.5" hidden="1" customHeight="1">
      <c r="A75" s="243"/>
      <c r="B75" s="243"/>
      <c r="C75" s="247"/>
      <c r="D75" s="248" t="s">
        <v>16</v>
      </c>
      <c r="E75" s="249"/>
      <c r="F75" s="99">
        <f>SUM(F72:F74)</f>
        <v>0</v>
      </c>
      <c r="G75" s="155">
        <f>SUM(G72:G74)</f>
        <v>0</v>
      </c>
      <c r="H75" s="170">
        <f>SUM(H72:H74)</f>
        <v>0</v>
      </c>
      <c r="I75" s="171">
        <f>SUM(I72:I74)</f>
        <v>0</v>
      </c>
      <c r="J75" s="209" t="str">
        <f t="shared" si="5"/>
        <v>-</v>
      </c>
      <c r="K75" s="210" t="str">
        <f t="shared" si="5"/>
        <v>-</v>
      </c>
      <c r="L75" s="99">
        <f>SUM(L72:L74)</f>
        <v>0</v>
      </c>
      <c r="M75" s="115">
        <f>SUM(M72:M74)</f>
        <v>0</v>
      </c>
      <c r="N75" s="78">
        <f t="shared" si="6"/>
        <v>-1</v>
      </c>
      <c r="O75" s="89">
        <f t="shared" si="7"/>
        <v>-1</v>
      </c>
      <c r="P75" s="99">
        <f>SUM(P72:P74)</f>
        <v>16</v>
      </c>
      <c r="Q75" s="115">
        <f>SUM(Q72:Q74)</f>
        <v>2910</v>
      </c>
      <c r="R75" s="189"/>
    </row>
    <row r="76" spans="1:18" ht="16.5" hidden="1" customHeight="1">
      <c r="A76" s="243"/>
      <c r="B76" s="243"/>
      <c r="C76" s="245" t="s">
        <v>17</v>
      </c>
      <c r="D76" s="221" t="s">
        <v>18</v>
      </c>
      <c r="E76" s="111"/>
      <c r="F76" s="100"/>
      <c r="G76" s="156"/>
      <c r="H76" s="21"/>
      <c r="I76" s="28"/>
      <c r="J76" s="197" t="str">
        <f t="shared" si="5"/>
        <v>-</v>
      </c>
      <c r="K76" s="198" t="str">
        <f t="shared" si="5"/>
        <v>-</v>
      </c>
      <c r="L76" s="100"/>
      <c r="M76" s="116"/>
      <c r="N76" s="9">
        <f t="shared" si="6"/>
        <v>-1</v>
      </c>
      <c r="O76" s="90">
        <f t="shared" si="7"/>
        <v>-1</v>
      </c>
      <c r="P76" s="100">
        <f>33+4+1+9</f>
        <v>47</v>
      </c>
      <c r="Q76" s="116">
        <f>14520+1760+490+4410</f>
        <v>21180</v>
      </c>
      <c r="R76" s="189"/>
    </row>
    <row r="77" spans="1:18" ht="16.5" hidden="1" customHeight="1">
      <c r="A77" s="243"/>
      <c r="B77" s="243"/>
      <c r="C77" s="246"/>
      <c r="D77" s="220" t="s">
        <v>19</v>
      </c>
      <c r="E77" s="110"/>
      <c r="F77" s="101"/>
      <c r="G77" s="157"/>
      <c r="H77" s="20"/>
      <c r="I77" s="172"/>
      <c r="J77" s="195" t="str">
        <f t="shared" si="5"/>
        <v>-</v>
      </c>
      <c r="K77" s="196" t="str">
        <f t="shared" si="5"/>
        <v>-</v>
      </c>
      <c r="L77" s="101"/>
      <c r="M77" s="117"/>
      <c r="N77" s="77">
        <f t="shared" si="6"/>
        <v>-1</v>
      </c>
      <c r="O77" s="88">
        <f t="shared" si="7"/>
        <v>-1</v>
      </c>
      <c r="P77" s="101">
        <f>34+6</f>
        <v>40</v>
      </c>
      <c r="Q77" s="117">
        <f>17680+3420</f>
        <v>21100</v>
      </c>
      <c r="R77" s="189"/>
    </row>
    <row r="78" spans="1:18" ht="16.5" hidden="1" customHeight="1">
      <c r="A78" s="243"/>
      <c r="B78" s="243"/>
      <c r="C78" s="246"/>
      <c r="D78" s="220" t="s">
        <v>38</v>
      </c>
      <c r="E78" s="110"/>
      <c r="F78" s="101"/>
      <c r="G78" s="157"/>
      <c r="H78" s="20"/>
      <c r="I78" s="172"/>
      <c r="J78" s="195" t="str">
        <f t="shared" si="5"/>
        <v>-</v>
      </c>
      <c r="K78" s="196" t="str">
        <f t="shared" si="5"/>
        <v>-</v>
      </c>
      <c r="L78" s="101"/>
      <c r="M78" s="117"/>
      <c r="N78" s="77" t="str">
        <f t="shared" si="6"/>
        <v>-</v>
      </c>
      <c r="O78" s="88" t="str">
        <f t="shared" si="7"/>
        <v>-</v>
      </c>
      <c r="P78" s="101">
        <v>0</v>
      </c>
      <c r="Q78" s="117">
        <v>0</v>
      </c>
      <c r="R78" s="189"/>
    </row>
    <row r="79" spans="1:18" ht="16.5" hidden="1" customHeight="1">
      <c r="A79" s="243"/>
      <c r="B79" s="243"/>
      <c r="C79" s="247"/>
      <c r="D79" s="248" t="s">
        <v>16</v>
      </c>
      <c r="E79" s="249"/>
      <c r="F79" s="99">
        <f>SUM(F76:F78)</f>
        <v>0</v>
      </c>
      <c r="G79" s="155">
        <f>SUM(G76:G78)</f>
        <v>0</v>
      </c>
      <c r="H79" s="170">
        <f>SUM(H76:H78)</f>
        <v>0</v>
      </c>
      <c r="I79" s="171">
        <f>SUM(I76:I78)</f>
        <v>0</v>
      </c>
      <c r="J79" s="209" t="str">
        <f t="shared" si="5"/>
        <v>-</v>
      </c>
      <c r="K79" s="210" t="str">
        <f t="shared" si="5"/>
        <v>-</v>
      </c>
      <c r="L79" s="99">
        <f>SUM(L76:L78)</f>
        <v>0</v>
      </c>
      <c r="M79" s="115">
        <f>SUM(M76:M78)</f>
        <v>0</v>
      </c>
      <c r="N79" s="78">
        <f t="shared" si="6"/>
        <v>-1</v>
      </c>
      <c r="O79" s="89">
        <f t="shared" si="7"/>
        <v>-1</v>
      </c>
      <c r="P79" s="99">
        <f>SUM(P76:P78)</f>
        <v>87</v>
      </c>
      <c r="Q79" s="115">
        <f>SUM(Q76:Q78)</f>
        <v>42280</v>
      </c>
      <c r="R79" s="189"/>
    </row>
    <row r="80" spans="1:18" ht="16.5" hidden="1" customHeight="1">
      <c r="A80" s="243"/>
      <c r="B80" s="243"/>
      <c r="C80" s="245" t="s">
        <v>54</v>
      </c>
      <c r="D80" s="221" t="s">
        <v>19</v>
      </c>
      <c r="E80" s="111"/>
      <c r="F80" s="100"/>
      <c r="G80" s="156"/>
      <c r="H80" s="21"/>
      <c r="I80" s="28"/>
      <c r="J80" s="197" t="str">
        <f t="shared" si="5"/>
        <v>-</v>
      </c>
      <c r="K80" s="198" t="str">
        <f t="shared" si="5"/>
        <v>-</v>
      </c>
      <c r="L80" s="100"/>
      <c r="M80" s="116"/>
      <c r="N80" s="9" t="str">
        <f t="shared" si="6"/>
        <v>-</v>
      </c>
      <c r="O80" s="90" t="str">
        <f t="shared" si="7"/>
        <v>-</v>
      </c>
      <c r="P80" s="100">
        <v>0</v>
      </c>
      <c r="Q80" s="116">
        <v>0</v>
      </c>
      <c r="R80" s="189"/>
    </row>
    <row r="81" spans="1:18" ht="16.5" hidden="1" customHeight="1">
      <c r="A81" s="244"/>
      <c r="B81" s="244"/>
      <c r="C81" s="247"/>
      <c r="D81" s="248" t="s">
        <v>16</v>
      </c>
      <c r="E81" s="249"/>
      <c r="F81" s="99">
        <f>SUM(F80)</f>
        <v>0</v>
      </c>
      <c r="G81" s="155">
        <f>SUM(G80)</f>
        <v>0</v>
      </c>
      <c r="H81" s="170">
        <f>SUM(H80)</f>
        <v>0</v>
      </c>
      <c r="I81" s="171">
        <f>SUM(I80)</f>
        <v>0</v>
      </c>
      <c r="J81" s="209" t="str">
        <f t="shared" si="5"/>
        <v>-</v>
      </c>
      <c r="K81" s="210" t="str">
        <f t="shared" si="5"/>
        <v>-</v>
      </c>
      <c r="L81" s="99">
        <f>SUM(L80)</f>
        <v>0</v>
      </c>
      <c r="M81" s="115">
        <f>SUM(M80)</f>
        <v>0</v>
      </c>
      <c r="N81" s="78" t="str">
        <f t="shared" si="6"/>
        <v>-</v>
      </c>
      <c r="O81" s="89" t="str">
        <f t="shared" si="7"/>
        <v>-</v>
      </c>
      <c r="P81" s="99">
        <f>SUM(P80)</f>
        <v>0</v>
      </c>
      <c r="Q81" s="115">
        <f>SUM(Q80)</f>
        <v>0</v>
      </c>
      <c r="R81" s="189"/>
    </row>
    <row r="82" spans="1:18" ht="16.5" hidden="1" customHeight="1">
      <c r="A82" s="371" t="s">
        <v>58</v>
      </c>
      <c r="B82" s="372"/>
      <c r="C82" s="372"/>
      <c r="D82" s="372"/>
      <c r="E82" s="373"/>
      <c r="F82" s="103">
        <f>F81+F79+F75</f>
        <v>0</v>
      </c>
      <c r="G82" s="160">
        <f>G81+G79+G75</f>
        <v>0</v>
      </c>
      <c r="H82" s="177">
        <f>H81+H79+H75</f>
        <v>0</v>
      </c>
      <c r="I82" s="178">
        <f>I81+I79+I75</f>
        <v>0</v>
      </c>
      <c r="J82" s="207" t="str">
        <f t="shared" si="5"/>
        <v>-</v>
      </c>
      <c r="K82" s="208" t="str">
        <f t="shared" si="5"/>
        <v>-</v>
      </c>
      <c r="L82" s="103">
        <f>L81+L79+L75</f>
        <v>0</v>
      </c>
      <c r="M82" s="120">
        <f>M81+M79+M75</f>
        <v>0</v>
      </c>
      <c r="N82" s="121">
        <f t="shared" si="6"/>
        <v>-1</v>
      </c>
      <c r="O82" s="125">
        <f t="shared" si="7"/>
        <v>-1</v>
      </c>
      <c r="P82" s="103">
        <f>P81+P79+P75</f>
        <v>103</v>
      </c>
      <c r="Q82" s="120">
        <f>Q81+Q79+Q75</f>
        <v>45190</v>
      </c>
      <c r="R82" s="188"/>
    </row>
    <row r="83" spans="1:18" ht="17.25" thickBot="1">
      <c r="A83" s="236" t="s">
        <v>55</v>
      </c>
      <c r="B83" s="237"/>
      <c r="C83" s="237"/>
      <c r="D83" s="237"/>
      <c r="E83" s="238"/>
      <c r="F83" s="199">
        <f>F82+F71+F43+F34</f>
        <v>18</v>
      </c>
      <c r="G83" s="225">
        <f>G82+G71+G43+G34</f>
        <v>10450</v>
      </c>
      <c r="H83" s="229">
        <f>H82+H71+H43+H34</f>
        <v>67</v>
      </c>
      <c r="I83" s="230">
        <f>I82+I71+I43+I34</f>
        <v>39230</v>
      </c>
      <c r="J83" s="201">
        <f t="shared" si="5"/>
        <v>6.3492063492063489E-2</v>
      </c>
      <c r="K83" s="202">
        <f t="shared" si="5"/>
        <v>0.23364779874213837</v>
      </c>
      <c r="L83" s="199">
        <f>L82+L71+L43+L34</f>
        <v>63</v>
      </c>
      <c r="M83" s="200">
        <f>M82+M71+M43+M34</f>
        <v>31800</v>
      </c>
      <c r="N83" s="203">
        <f t="shared" si="6"/>
        <v>-0.81440443213296398</v>
      </c>
      <c r="O83" s="204">
        <f t="shared" si="7"/>
        <v>-0.76334680581528624</v>
      </c>
      <c r="P83" s="199">
        <f>P82+P71+P43+P34</f>
        <v>361</v>
      </c>
      <c r="Q83" s="200">
        <f>Q82+Q71+Q43+Q34</f>
        <v>165770</v>
      </c>
      <c r="R83" s="190"/>
    </row>
    <row r="84" spans="1:18">
      <c r="A84" s="25" t="s">
        <v>42</v>
      </c>
    </row>
    <row r="85" spans="1:18">
      <c r="A85" s="25" t="s">
        <v>40</v>
      </c>
    </row>
    <row r="86" spans="1:18">
      <c r="A86" s="25" t="s">
        <v>41</v>
      </c>
    </row>
  </sheetData>
  <mergeCells count="66">
    <mergeCell ref="N5:O5"/>
    <mergeCell ref="P5:Q5"/>
    <mergeCell ref="D32:E32"/>
    <mergeCell ref="C33:E33"/>
    <mergeCell ref="R5:R6"/>
    <mergeCell ref="A7:A33"/>
    <mergeCell ref="B7:B15"/>
    <mergeCell ref="C7:C10"/>
    <mergeCell ref="D10:E10"/>
    <mergeCell ref="C11:C14"/>
    <mergeCell ref="D14:E14"/>
    <mergeCell ref="C15:E15"/>
    <mergeCell ref="B16:B24"/>
    <mergeCell ref="C16:C19"/>
    <mergeCell ref="A5:D6"/>
    <mergeCell ref="E5:E6"/>
    <mergeCell ref="F5:G5"/>
    <mergeCell ref="H5:I5"/>
    <mergeCell ref="D60:E60"/>
    <mergeCell ref="D19:E19"/>
    <mergeCell ref="C20:C23"/>
    <mergeCell ref="D23:E23"/>
    <mergeCell ref="C24:E24"/>
    <mergeCell ref="A34:E34"/>
    <mergeCell ref="A35:A42"/>
    <mergeCell ref="B35:B36"/>
    <mergeCell ref="C35:C36"/>
    <mergeCell ref="D36:E36"/>
    <mergeCell ref="B37:B42"/>
    <mergeCell ref="C37:C42"/>
    <mergeCell ref="B25:B33"/>
    <mergeCell ref="C25:C28"/>
    <mergeCell ref="D28:E28"/>
    <mergeCell ref="C29:C32"/>
    <mergeCell ref="L5:M5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D56:E56"/>
    <mergeCell ref="C57:C60"/>
    <mergeCell ref="A43:E43"/>
    <mergeCell ref="A44:A70"/>
    <mergeCell ref="B44:B52"/>
    <mergeCell ref="C44:C47"/>
    <mergeCell ref="C70:E70"/>
    <mergeCell ref="A82:E82"/>
    <mergeCell ref="A83:E83"/>
    <mergeCell ref="J5:K5"/>
    <mergeCell ref="D47:E47"/>
    <mergeCell ref="C48:C51"/>
    <mergeCell ref="D51:E51"/>
    <mergeCell ref="C52:E52"/>
    <mergeCell ref="B53:B61"/>
    <mergeCell ref="C53:C56"/>
    <mergeCell ref="C61:E61"/>
    <mergeCell ref="B62:B70"/>
    <mergeCell ref="C62:C65"/>
    <mergeCell ref="D65:E65"/>
    <mergeCell ref="C66:C69"/>
    <mergeCell ref="D69:E69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7839-D9EE-4962-BBDA-73DCEAD9EE40}">
  <dimension ref="A1:R86"/>
  <sheetViews>
    <sheetView showGridLines="0" zoomScale="85" zoomScaleNormal="85" workbookViewId="0">
      <selection activeCell="P30" sqref="P30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7" width="7.625" customWidth="1"/>
    <col min="18" max="18" width="13.75" customWidth="1"/>
  </cols>
  <sheetData>
    <row r="1" spans="1:18" ht="20.25">
      <c r="A1" s="26" t="s">
        <v>74</v>
      </c>
    </row>
    <row r="2" spans="1:18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spans="1:18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</row>
    <row r="4" spans="1:18" ht="17.25" thickBot="1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7" t="s">
        <v>1</v>
      </c>
    </row>
    <row r="5" spans="1:18" ht="23.25" customHeight="1">
      <c r="A5" s="289" t="s">
        <v>2</v>
      </c>
      <c r="B5" s="290"/>
      <c r="C5" s="290"/>
      <c r="D5" s="291"/>
      <c r="E5" s="295" t="s">
        <v>3</v>
      </c>
      <c r="F5" s="297" t="s">
        <v>73</v>
      </c>
      <c r="G5" s="298"/>
      <c r="H5" s="299" t="s">
        <v>76</v>
      </c>
      <c r="I5" s="300"/>
      <c r="J5" s="301" t="s">
        <v>69</v>
      </c>
      <c r="K5" s="285"/>
      <c r="L5" s="284" t="s">
        <v>75</v>
      </c>
      <c r="M5" s="285"/>
      <c r="N5" s="284" t="s">
        <v>4</v>
      </c>
      <c r="O5" s="285"/>
      <c r="P5" s="284" t="s">
        <v>72</v>
      </c>
      <c r="Q5" s="285"/>
      <c r="R5" s="286" t="s">
        <v>5</v>
      </c>
    </row>
    <row r="6" spans="1:18">
      <c r="A6" s="292"/>
      <c r="B6" s="293"/>
      <c r="C6" s="293"/>
      <c r="D6" s="294"/>
      <c r="E6" s="296"/>
      <c r="F6" s="222" t="s">
        <v>6</v>
      </c>
      <c r="G6" s="194" t="s">
        <v>7</v>
      </c>
      <c r="H6" s="227" t="s">
        <v>8</v>
      </c>
      <c r="I6" s="228" t="s">
        <v>9</v>
      </c>
      <c r="J6" s="226" t="s">
        <v>8</v>
      </c>
      <c r="K6" s="223" t="s">
        <v>9</v>
      </c>
      <c r="L6" s="224" t="s">
        <v>8</v>
      </c>
      <c r="M6" s="223" t="s">
        <v>9</v>
      </c>
      <c r="N6" s="224" t="s">
        <v>8</v>
      </c>
      <c r="O6" s="223" t="s">
        <v>9</v>
      </c>
      <c r="P6" s="224" t="s">
        <v>8</v>
      </c>
      <c r="Q6" s="223" t="s">
        <v>9</v>
      </c>
      <c r="R6" s="287"/>
    </row>
    <row r="7" spans="1:18">
      <c r="A7" s="288" t="s">
        <v>10</v>
      </c>
      <c r="B7" s="258" t="s">
        <v>11</v>
      </c>
      <c r="C7" s="261" t="s">
        <v>12</v>
      </c>
      <c r="D7" s="213" t="s">
        <v>13</v>
      </c>
      <c r="E7" s="68">
        <v>275</v>
      </c>
      <c r="F7" s="13">
        <v>0</v>
      </c>
      <c r="G7" s="14">
        <f>F7*E7</f>
        <v>0</v>
      </c>
      <c r="H7" s="15">
        <f>F7</f>
        <v>0</v>
      </c>
      <c r="I7" s="16">
        <f>H7*E7</f>
        <v>0</v>
      </c>
      <c r="J7" s="205" t="str">
        <f t="shared" ref="J7:K70" si="0">IFERROR(H7/L7-1,"-")</f>
        <v>-</v>
      </c>
      <c r="K7" s="206" t="str">
        <f t="shared" si="0"/>
        <v>-</v>
      </c>
      <c r="L7" s="84">
        <v>0</v>
      </c>
      <c r="M7" s="81"/>
      <c r="N7" s="19">
        <f t="shared" ref="N7:O38" si="1">IFERROR(H7/P7-1,"-")</f>
        <v>-1</v>
      </c>
      <c r="O7" s="87">
        <f t="shared" si="1"/>
        <v>-1</v>
      </c>
      <c r="P7" s="84">
        <f>3+5</f>
        <v>8</v>
      </c>
      <c r="Q7" s="81">
        <f>690+1210</f>
        <v>1900</v>
      </c>
      <c r="R7" s="184" t="s">
        <v>14</v>
      </c>
    </row>
    <row r="8" spans="1:18">
      <c r="A8" s="268"/>
      <c r="B8" s="259"/>
      <c r="C8" s="262"/>
      <c r="D8" s="214" t="s">
        <v>15</v>
      </c>
      <c r="E8" s="69">
        <v>180</v>
      </c>
      <c r="F8" s="12">
        <v>0</v>
      </c>
      <c r="G8" s="150">
        <v>0</v>
      </c>
      <c r="H8" s="10">
        <v>0</v>
      </c>
      <c r="I8" s="11">
        <f>H8*E8</f>
        <v>0</v>
      </c>
      <c r="J8" s="195">
        <f t="shared" si="0"/>
        <v>-1</v>
      </c>
      <c r="K8" s="196">
        <f t="shared" si="0"/>
        <v>-1</v>
      </c>
      <c r="L8" s="85">
        <v>1</v>
      </c>
      <c r="M8" s="82">
        <v>170</v>
      </c>
      <c r="N8" s="77" t="str">
        <f t="shared" si="1"/>
        <v>-</v>
      </c>
      <c r="O8" s="88" t="str">
        <f t="shared" si="1"/>
        <v>-</v>
      </c>
      <c r="P8" s="85">
        <v>0</v>
      </c>
      <c r="Q8" s="82">
        <v>0</v>
      </c>
      <c r="R8" s="185"/>
    </row>
    <row r="9" spans="1:18">
      <c r="A9" s="268"/>
      <c r="B9" s="259"/>
      <c r="C9" s="262"/>
      <c r="D9" s="214" t="s">
        <v>37</v>
      </c>
      <c r="E9" s="69">
        <v>420</v>
      </c>
      <c r="F9" s="12">
        <v>0</v>
      </c>
      <c r="G9" s="150">
        <f>F9*E9</f>
        <v>0</v>
      </c>
      <c r="H9" s="10">
        <v>0</v>
      </c>
      <c r="I9" s="11">
        <f>H9*E9</f>
        <v>0</v>
      </c>
      <c r="J9" s="195" t="str">
        <f t="shared" si="0"/>
        <v>-</v>
      </c>
      <c r="K9" s="196" t="str">
        <f t="shared" si="0"/>
        <v>-</v>
      </c>
      <c r="L9" s="85">
        <v>0</v>
      </c>
      <c r="M9" s="82">
        <v>0</v>
      </c>
      <c r="N9" s="77">
        <f t="shared" si="1"/>
        <v>-1</v>
      </c>
      <c r="O9" s="88">
        <f t="shared" si="1"/>
        <v>-1</v>
      </c>
      <c r="P9" s="85">
        <v>1</v>
      </c>
      <c r="Q9" s="82">
        <v>430</v>
      </c>
      <c r="R9" s="185"/>
    </row>
    <row r="10" spans="1:18">
      <c r="A10" s="268"/>
      <c r="B10" s="259"/>
      <c r="C10" s="263"/>
      <c r="D10" s="250" t="s">
        <v>16</v>
      </c>
      <c r="E10" s="251"/>
      <c r="F10" s="65">
        <f>SUM(F7:F9)</f>
        <v>0</v>
      </c>
      <c r="G10" s="151">
        <f>SUM(G7:G9)</f>
        <v>0</v>
      </c>
      <c r="H10" s="164">
        <f>SUM(H7:H9)</f>
        <v>0</v>
      </c>
      <c r="I10" s="165">
        <f>SUM(I7:I9)</f>
        <v>0</v>
      </c>
      <c r="J10" s="209">
        <f t="shared" si="0"/>
        <v>-1</v>
      </c>
      <c r="K10" s="210">
        <f t="shared" si="0"/>
        <v>-1</v>
      </c>
      <c r="L10" s="65">
        <f>SUM(L7:L9)</f>
        <v>1</v>
      </c>
      <c r="M10" s="74">
        <f>SUM(M7:M9)</f>
        <v>170</v>
      </c>
      <c r="N10" s="78">
        <f t="shared" si="1"/>
        <v>-1</v>
      </c>
      <c r="O10" s="89">
        <f t="shared" si="1"/>
        <v>-1</v>
      </c>
      <c r="P10" s="65">
        <f>SUM(P7:P9)</f>
        <v>9</v>
      </c>
      <c r="Q10" s="74">
        <f>SUM(Q7:Q9)</f>
        <v>2330</v>
      </c>
      <c r="R10" s="185"/>
    </row>
    <row r="11" spans="1:18">
      <c r="A11" s="268"/>
      <c r="B11" s="259"/>
      <c r="C11" s="261" t="s">
        <v>17</v>
      </c>
      <c r="D11" s="215" t="s">
        <v>18</v>
      </c>
      <c r="E11" s="70">
        <v>550</v>
      </c>
      <c r="F11" s="5">
        <v>2</v>
      </c>
      <c r="G11" s="6">
        <f>F11*E11</f>
        <v>1100</v>
      </c>
      <c r="H11" s="7">
        <v>7</v>
      </c>
      <c r="I11" s="8">
        <f>H11*E11</f>
        <v>3850</v>
      </c>
      <c r="J11" s="197">
        <f>IFERROR(H11/L11-1,"-")</f>
        <v>-0.125</v>
      </c>
      <c r="K11" s="198">
        <f t="shared" si="0"/>
        <v>-9.198113207547165E-2</v>
      </c>
      <c r="L11" s="86">
        <v>8</v>
      </c>
      <c r="M11" s="83">
        <v>4240</v>
      </c>
      <c r="N11" s="9">
        <f t="shared" si="1"/>
        <v>-0.65</v>
      </c>
      <c r="O11" s="90">
        <f t="shared" si="1"/>
        <v>-0.6367924528301887</v>
      </c>
      <c r="P11" s="86">
        <v>20</v>
      </c>
      <c r="Q11" s="83">
        <f>1060+9540</f>
        <v>10600</v>
      </c>
      <c r="R11" s="185"/>
    </row>
    <row r="12" spans="1:18">
      <c r="A12" s="268"/>
      <c r="B12" s="259"/>
      <c r="C12" s="262"/>
      <c r="D12" s="214" t="s">
        <v>19</v>
      </c>
      <c r="E12" s="69">
        <v>675</v>
      </c>
      <c r="F12" s="12">
        <v>2</v>
      </c>
      <c r="G12" s="150">
        <f>F12*E12</f>
        <v>1350</v>
      </c>
      <c r="H12" s="10">
        <v>4</v>
      </c>
      <c r="I12" s="11">
        <f>H12*E12</f>
        <v>2700</v>
      </c>
      <c r="J12" s="195">
        <f t="shared" si="0"/>
        <v>-0.5</v>
      </c>
      <c r="K12" s="196">
        <f t="shared" si="0"/>
        <v>-0.47265625</v>
      </c>
      <c r="L12" s="85">
        <v>8</v>
      </c>
      <c r="M12" s="82">
        <v>5120</v>
      </c>
      <c r="N12" s="77">
        <f t="shared" si="1"/>
        <v>-0.85714285714285721</v>
      </c>
      <c r="O12" s="88">
        <f t="shared" si="1"/>
        <v>-0.84375</v>
      </c>
      <c r="P12" s="85">
        <v>28</v>
      </c>
      <c r="Q12" s="82">
        <f>9600+7680</f>
        <v>17280</v>
      </c>
      <c r="R12" s="185"/>
    </row>
    <row r="13" spans="1:18">
      <c r="A13" s="268"/>
      <c r="B13" s="259"/>
      <c r="C13" s="262"/>
      <c r="D13" s="214" t="s">
        <v>38</v>
      </c>
      <c r="E13" s="69">
        <v>810</v>
      </c>
      <c r="F13" s="12">
        <v>0</v>
      </c>
      <c r="G13" s="150">
        <f>F13*E13</f>
        <v>0</v>
      </c>
      <c r="H13" s="10">
        <v>3</v>
      </c>
      <c r="I13" s="11">
        <f>H13*E13</f>
        <v>2430</v>
      </c>
      <c r="J13" s="195" t="str">
        <f t="shared" si="0"/>
        <v>-</v>
      </c>
      <c r="K13" s="196" t="str">
        <f t="shared" si="0"/>
        <v>-</v>
      </c>
      <c r="L13" s="85">
        <v>0</v>
      </c>
      <c r="M13" s="82">
        <v>0</v>
      </c>
      <c r="N13" s="77" t="str">
        <f t="shared" si="1"/>
        <v>-</v>
      </c>
      <c r="O13" s="88" t="str">
        <f t="shared" si="1"/>
        <v>-</v>
      </c>
      <c r="P13" s="85">
        <v>0</v>
      </c>
      <c r="Q13" s="82">
        <v>0</v>
      </c>
      <c r="R13" s="185"/>
    </row>
    <row r="14" spans="1:18">
      <c r="A14" s="268"/>
      <c r="B14" s="259"/>
      <c r="C14" s="263"/>
      <c r="D14" s="250" t="s">
        <v>16</v>
      </c>
      <c r="E14" s="251"/>
      <c r="F14" s="65">
        <f>SUM(F11:F13)</f>
        <v>4</v>
      </c>
      <c r="G14" s="151">
        <f>SUM(G11:G13)</f>
        <v>2450</v>
      </c>
      <c r="H14" s="164">
        <f>SUM(H11:H13)</f>
        <v>14</v>
      </c>
      <c r="I14" s="165">
        <f>SUM(I11:I13)</f>
        <v>8980</v>
      </c>
      <c r="J14" s="209">
        <f t="shared" si="0"/>
        <v>-0.125</v>
      </c>
      <c r="K14" s="210">
        <f t="shared" si="0"/>
        <v>-4.0598290598290565E-2</v>
      </c>
      <c r="L14" s="65">
        <f>SUM(L11:L13)</f>
        <v>16</v>
      </c>
      <c r="M14" s="74">
        <f>SUM(M11:M13)</f>
        <v>9360</v>
      </c>
      <c r="N14" s="78">
        <f t="shared" si="1"/>
        <v>-0.70833333333333326</v>
      </c>
      <c r="O14" s="89">
        <f t="shared" si="1"/>
        <v>-0.67790530846484942</v>
      </c>
      <c r="P14" s="65">
        <f>SUM(P11:P13)</f>
        <v>48</v>
      </c>
      <c r="Q14" s="74">
        <f>SUM(Q11:Q13)</f>
        <v>27880</v>
      </c>
      <c r="R14" s="185"/>
    </row>
    <row r="15" spans="1:18">
      <c r="A15" s="268"/>
      <c r="B15" s="260"/>
      <c r="C15" s="255" t="s">
        <v>20</v>
      </c>
      <c r="D15" s="256"/>
      <c r="E15" s="257"/>
      <c r="F15" s="102">
        <f>SUM(F10,F14)</f>
        <v>4</v>
      </c>
      <c r="G15" s="159">
        <f>SUM(G10,G14)</f>
        <v>2450</v>
      </c>
      <c r="H15" s="175">
        <f>H14+H10</f>
        <v>14</v>
      </c>
      <c r="I15" s="176">
        <f>I14+I10</f>
        <v>8980</v>
      </c>
      <c r="J15" s="211">
        <f t="shared" si="0"/>
        <v>-0.17647058823529416</v>
      </c>
      <c r="K15" s="212">
        <f t="shared" si="0"/>
        <v>-5.7712486883525704E-2</v>
      </c>
      <c r="L15" s="102">
        <f>L14+L10</f>
        <v>17</v>
      </c>
      <c r="M15" s="119">
        <f>M14+M10</f>
        <v>9530</v>
      </c>
      <c r="N15" s="122">
        <f t="shared" si="1"/>
        <v>-0.75438596491228072</v>
      </c>
      <c r="O15" s="126">
        <f t="shared" si="1"/>
        <v>-0.70274743462429656</v>
      </c>
      <c r="P15" s="102">
        <f>SUM(P10,P14)</f>
        <v>57</v>
      </c>
      <c r="Q15" s="119">
        <f>SUM(Q10,Q14)</f>
        <v>30210</v>
      </c>
      <c r="R15" s="191"/>
    </row>
    <row r="16" spans="1:18">
      <c r="A16" s="268"/>
      <c r="B16" s="258" t="s">
        <v>21</v>
      </c>
      <c r="C16" s="261" t="s">
        <v>12</v>
      </c>
      <c r="D16" s="215" t="s">
        <v>13</v>
      </c>
      <c r="E16" s="70">
        <v>190</v>
      </c>
      <c r="F16" s="5">
        <v>0</v>
      </c>
      <c r="G16" s="6">
        <f>F16*E16</f>
        <v>0</v>
      </c>
      <c r="H16" s="7">
        <v>0</v>
      </c>
      <c r="I16" s="8">
        <f>H16*E16</f>
        <v>0</v>
      </c>
      <c r="J16" s="197" t="str">
        <f t="shared" si="0"/>
        <v>-</v>
      </c>
      <c r="K16" s="198" t="str">
        <f t="shared" si="0"/>
        <v>-</v>
      </c>
      <c r="L16" s="86">
        <v>0</v>
      </c>
      <c r="M16" s="83">
        <v>0</v>
      </c>
      <c r="N16" s="9">
        <f t="shared" si="1"/>
        <v>-1</v>
      </c>
      <c r="O16" s="90">
        <f t="shared" si="1"/>
        <v>-1</v>
      </c>
      <c r="P16" s="86">
        <v>5</v>
      </c>
      <c r="Q16" s="83">
        <v>670</v>
      </c>
      <c r="R16" s="185" t="s">
        <v>22</v>
      </c>
    </row>
    <row r="17" spans="1:18">
      <c r="A17" s="268"/>
      <c r="B17" s="259"/>
      <c r="C17" s="262"/>
      <c r="D17" s="214" t="s">
        <v>15</v>
      </c>
      <c r="E17" s="69">
        <v>120</v>
      </c>
      <c r="F17" s="12">
        <v>0</v>
      </c>
      <c r="G17" s="150">
        <f>F17*E17</f>
        <v>0</v>
      </c>
      <c r="H17" s="10">
        <v>0</v>
      </c>
      <c r="I17" s="11">
        <f>H17*E17</f>
        <v>0</v>
      </c>
      <c r="J17" s="195" t="str">
        <f t="shared" si="0"/>
        <v>-</v>
      </c>
      <c r="K17" s="196" t="str">
        <f t="shared" si="0"/>
        <v>-</v>
      </c>
      <c r="L17" s="85">
        <v>0</v>
      </c>
      <c r="M17" s="82">
        <v>0</v>
      </c>
      <c r="N17" s="77">
        <f t="shared" si="1"/>
        <v>-1</v>
      </c>
      <c r="O17" s="88">
        <f t="shared" si="1"/>
        <v>-1</v>
      </c>
      <c r="P17" s="85">
        <v>3</v>
      </c>
      <c r="Q17" s="82">
        <v>430</v>
      </c>
      <c r="R17" s="185"/>
    </row>
    <row r="18" spans="1:18">
      <c r="A18" s="268"/>
      <c r="B18" s="259"/>
      <c r="C18" s="262"/>
      <c r="D18" s="214" t="s">
        <v>37</v>
      </c>
      <c r="E18" s="69">
        <v>300</v>
      </c>
      <c r="F18" s="12">
        <v>0</v>
      </c>
      <c r="G18" s="150">
        <f>F18*E18</f>
        <v>0</v>
      </c>
      <c r="H18" s="10">
        <v>0</v>
      </c>
      <c r="I18" s="11">
        <f>H18*E18</f>
        <v>0</v>
      </c>
      <c r="J18" s="195" t="str">
        <f t="shared" si="0"/>
        <v>-</v>
      </c>
      <c r="K18" s="196" t="str">
        <f t="shared" si="0"/>
        <v>-</v>
      </c>
      <c r="L18" s="85">
        <v>0</v>
      </c>
      <c r="M18" s="82">
        <v>0</v>
      </c>
      <c r="N18" s="77" t="str">
        <f t="shared" si="1"/>
        <v>-</v>
      </c>
      <c r="O18" s="88" t="str">
        <f t="shared" si="1"/>
        <v>-</v>
      </c>
      <c r="P18" s="85">
        <v>0</v>
      </c>
      <c r="Q18" s="82">
        <v>0</v>
      </c>
      <c r="R18" s="185" t="s">
        <v>23</v>
      </c>
    </row>
    <row r="19" spans="1:18">
      <c r="A19" s="268"/>
      <c r="B19" s="259"/>
      <c r="C19" s="263"/>
      <c r="D19" s="250" t="s">
        <v>16</v>
      </c>
      <c r="E19" s="251"/>
      <c r="F19" s="65">
        <f>SUM(F16:F18)</f>
        <v>0</v>
      </c>
      <c r="G19" s="151">
        <f>SUM(G16:G18)</f>
        <v>0</v>
      </c>
      <c r="H19" s="164">
        <f>SUM(H16:H18)</f>
        <v>0</v>
      </c>
      <c r="I19" s="165">
        <f>SUM(I16:I18)</f>
        <v>0</v>
      </c>
      <c r="J19" s="209" t="str">
        <f t="shared" si="0"/>
        <v>-</v>
      </c>
      <c r="K19" s="210" t="str">
        <f t="shared" si="0"/>
        <v>-</v>
      </c>
      <c r="L19" s="65">
        <f>SUM(L16:L18)</f>
        <v>0</v>
      </c>
      <c r="M19" s="74">
        <f>SUM(M16:M18)</f>
        <v>0</v>
      </c>
      <c r="N19" s="78">
        <f t="shared" si="1"/>
        <v>-1</v>
      </c>
      <c r="O19" s="89">
        <f t="shared" si="1"/>
        <v>-1</v>
      </c>
      <c r="P19" s="65">
        <f>SUM(P16:P18)</f>
        <v>8</v>
      </c>
      <c r="Q19" s="74">
        <f>SUM(Q16:Q18)</f>
        <v>1100</v>
      </c>
      <c r="R19" s="185" t="s">
        <v>24</v>
      </c>
    </row>
    <row r="20" spans="1:18">
      <c r="A20" s="268"/>
      <c r="B20" s="259"/>
      <c r="C20" s="261" t="s">
        <v>17</v>
      </c>
      <c r="D20" s="215" t="s">
        <v>18</v>
      </c>
      <c r="E20" s="70">
        <v>440</v>
      </c>
      <c r="F20" s="5">
        <v>0</v>
      </c>
      <c r="G20" s="6">
        <f>F20*E20</f>
        <v>0</v>
      </c>
      <c r="H20" s="7">
        <v>0</v>
      </c>
      <c r="I20" s="8">
        <f>H20*E20</f>
        <v>0</v>
      </c>
      <c r="J20" s="197">
        <f t="shared" si="0"/>
        <v>-1</v>
      </c>
      <c r="K20" s="198">
        <f t="shared" si="0"/>
        <v>-1</v>
      </c>
      <c r="L20" s="86">
        <v>2</v>
      </c>
      <c r="M20" s="83">
        <v>880</v>
      </c>
      <c r="N20" s="9">
        <f t="shared" si="1"/>
        <v>-1</v>
      </c>
      <c r="O20" s="90">
        <f t="shared" si="1"/>
        <v>-1</v>
      </c>
      <c r="P20" s="86">
        <f>16+1</f>
        <v>17</v>
      </c>
      <c r="Q20" s="83">
        <f>1320+5720+440</f>
        <v>7480</v>
      </c>
      <c r="R20" s="185" t="s">
        <v>25</v>
      </c>
    </row>
    <row r="21" spans="1:18">
      <c r="A21" s="268"/>
      <c r="B21" s="259"/>
      <c r="C21" s="262"/>
      <c r="D21" s="214" t="s">
        <v>19</v>
      </c>
      <c r="E21" s="69">
        <v>520</v>
      </c>
      <c r="F21" s="12">
        <v>0</v>
      </c>
      <c r="G21" s="150">
        <f>F21*E21</f>
        <v>0</v>
      </c>
      <c r="H21" s="10">
        <v>2</v>
      </c>
      <c r="I21" s="11">
        <f>H21*E21</f>
        <v>1040</v>
      </c>
      <c r="J21" s="195">
        <f t="shared" si="0"/>
        <v>-0.5</v>
      </c>
      <c r="K21" s="196">
        <f t="shared" si="0"/>
        <v>-0.5</v>
      </c>
      <c r="L21" s="85">
        <v>4</v>
      </c>
      <c r="M21" s="82">
        <v>2080</v>
      </c>
      <c r="N21" s="77">
        <f t="shared" si="1"/>
        <v>-0.84615384615384615</v>
      </c>
      <c r="O21" s="88">
        <f t="shared" si="1"/>
        <v>-0.84615384615384615</v>
      </c>
      <c r="P21" s="85">
        <f>9+4</f>
        <v>13</v>
      </c>
      <c r="Q21" s="82">
        <f>1560+3120+2080</f>
        <v>6760</v>
      </c>
      <c r="R21" s="185"/>
    </row>
    <row r="22" spans="1:18">
      <c r="A22" s="268"/>
      <c r="B22" s="259"/>
      <c r="C22" s="262"/>
      <c r="D22" s="214" t="s">
        <v>38</v>
      </c>
      <c r="E22" s="69">
        <v>600</v>
      </c>
      <c r="F22" s="12">
        <v>0</v>
      </c>
      <c r="G22" s="150">
        <f>F22*E22</f>
        <v>0</v>
      </c>
      <c r="H22" s="10">
        <v>0</v>
      </c>
      <c r="I22" s="11">
        <f>H22*E22</f>
        <v>0</v>
      </c>
      <c r="J22" s="195" t="str">
        <f t="shared" si="0"/>
        <v>-</v>
      </c>
      <c r="K22" s="196" t="str">
        <f t="shared" si="0"/>
        <v>-</v>
      </c>
      <c r="L22" s="85">
        <v>0</v>
      </c>
      <c r="M22" s="82">
        <v>0</v>
      </c>
      <c r="N22" s="77" t="str">
        <f t="shared" si="1"/>
        <v>-</v>
      </c>
      <c r="O22" s="88" t="str">
        <f t="shared" si="1"/>
        <v>-</v>
      </c>
      <c r="P22" s="85">
        <v>0</v>
      </c>
      <c r="Q22" s="82">
        <v>0</v>
      </c>
      <c r="R22" s="185"/>
    </row>
    <row r="23" spans="1:18">
      <c r="A23" s="268"/>
      <c r="B23" s="259"/>
      <c r="C23" s="263"/>
      <c r="D23" s="250" t="s">
        <v>16</v>
      </c>
      <c r="E23" s="251"/>
      <c r="F23" s="65">
        <f>SUM(F20:F22)</f>
        <v>0</v>
      </c>
      <c r="G23" s="151">
        <f>SUM(G20:G22)</f>
        <v>0</v>
      </c>
      <c r="H23" s="164">
        <f>SUM(H20:H22)</f>
        <v>2</v>
      </c>
      <c r="I23" s="165">
        <f>SUM(I20:I22)</f>
        <v>1040</v>
      </c>
      <c r="J23" s="209">
        <f t="shared" si="0"/>
        <v>-0.66666666666666674</v>
      </c>
      <c r="K23" s="210">
        <f t="shared" si="0"/>
        <v>-0.64864864864864868</v>
      </c>
      <c r="L23" s="65">
        <f>SUM(L20:L22)</f>
        <v>6</v>
      </c>
      <c r="M23" s="74">
        <f>SUM(M20:M22)</f>
        <v>2960</v>
      </c>
      <c r="N23" s="78">
        <f t="shared" si="1"/>
        <v>-0.93333333333333335</v>
      </c>
      <c r="O23" s="89">
        <f t="shared" si="1"/>
        <v>-0.9269662921348315</v>
      </c>
      <c r="P23" s="65">
        <f>SUM(P20:P22)</f>
        <v>30</v>
      </c>
      <c r="Q23" s="74">
        <f>SUM(Q20:Q22)</f>
        <v>14240</v>
      </c>
      <c r="R23" s="185"/>
    </row>
    <row r="24" spans="1:18">
      <c r="A24" s="268"/>
      <c r="B24" s="260"/>
      <c r="C24" s="255" t="s">
        <v>20</v>
      </c>
      <c r="D24" s="256"/>
      <c r="E24" s="257"/>
      <c r="F24" s="102">
        <f>SUM(F19,F23)</f>
        <v>0</v>
      </c>
      <c r="G24" s="159">
        <f>SUM(G19,G23)</f>
        <v>0</v>
      </c>
      <c r="H24" s="175">
        <f>H23+H19</f>
        <v>2</v>
      </c>
      <c r="I24" s="176">
        <f>I23+I19</f>
        <v>1040</v>
      </c>
      <c r="J24" s="211">
        <f t="shared" si="0"/>
        <v>-0.66666666666666674</v>
      </c>
      <c r="K24" s="212">
        <f t="shared" si="0"/>
        <v>-0.64864864864864868</v>
      </c>
      <c r="L24" s="102">
        <f>L23+L19</f>
        <v>6</v>
      </c>
      <c r="M24" s="119">
        <f>M23+M19</f>
        <v>2960</v>
      </c>
      <c r="N24" s="122">
        <f t="shared" si="1"/>
        <v>-0.94736842105263164</v>
      </c>
      <c r="O24" s="126">
        <f t="shared" si="1"/>
        <v>-0.93220338983050843</v>
      </c>
      <c r="P24" s="102">
        <f>SUM(P19,P23)</f>
        <v>38</v>
      </c>
      <c r="Q24" s="119">
        <f>SUM(Q19,Q23)</f>
        <v>15340</v>
      </c>
      <c r="R24" s="191"/>
    </row>
    <row r="25" spans="1:18">
      <c r="A25" s="268"/>
      <c r="B25" s="258" t="s">
        <v>26</v>
      </c>
      <c r="C25" s="261" t="s">
        <v>12</v>
      </c>
      <c r="D25" s="215" t="s">
        <v>13</v>
      </c>
      <c r="E25" s="70">
        <v>190</v>
      </c>
      <c r="F25" s="5"/>
      <c r="G25" s="6">
        <f>F25*E25</f>
        <v>0</v>
      </c>
      <c r="H25" s="7">
        <v>1</v>
      </c>
      <c r="I25" s="8">
        <f>H25*E25</f>
        <v>190</v>
      </c>
      <c r="J25" s="197">
        <f t="shared" si="0"/>
        <v>-0.875</v>
      </c>
      <c r="K25" s="198">
        <f t="shared" si="0"/>
        <v>-0.875</v>
      </c>
      <c r="L25" s="86">
        <v>8</v>
      </c>
      <c r="M25" s="83">
        <v>1520</v>
      </c>
      <c r="N25" s="9">
        <f t="shared" si="1"/>
        <v>-0.94736842105263164</v>
      </c>
      <c r="O25" s="90">
        <f t="shared" si="1"/>
        <v>-0.93470790378006874</v>
      </c>
      <c r="P25" s="86">
        <v>19</v>
      </c>
      <c r="Q25" s="83">
        <v>2910</v>
      </c>
      <c r="R25" s="185" t="s">
        <v>22</v>
      </c>
    </row>
    <row r="26" spans="1:18">
      <c r="A26" s="268"/>
      <c r="B26" s="259"/>
      <c r="C26" s="262"/>
      <c r="D26" s="214" t="s">
        <v>15</v>
      </c>
      <c r="E26" s="69">
        <v>120</v>
      </c>
      <c r="F26" s="12"/>
      <c r="G26" s="150">
        <f>F26*E26</f>
        <v>0</v>
      </c>
      <c r="H26" s="10">
        <v>1</v>
      </c>
      <c r="I26" s="11">
        <f>H26*E26</f>
        <v>120</v>
      </c>
      <c r="J26" s="195">
        <f t="shared" si="0"/>
        <v>-0.66666666666666674</v>
      </c>
      <c r="K26" s="196">
        <f t="shared" si="0"/>
        <v>-0.66666666666666674</v>
      </c>
      <c r="L26" s="85">
        <v>3</v>
      </c>
      <c r="M26" s="82">
        <v>360</v>
      </c>
      <c r="N26" s="77" t="str">
        <f t="shared" si="1"/>
        <v>-</v>
      </c>
      <c r="O26" s="88" t="str">
        <f t="shared" si="1"/>
        <v>-</v>
      </c>
      <c r="P26" s="85">
        <v>0</v>
      </c>
      <c r="Q26" s="82">
        <v>0</v>
      </c>
      <c r="R26" s="185"/>
    </row>
    <row r="27" spans="1:18">
      <c r="A27" s="268"/>
      <c r="B27" s="259"/>
      <c r="C27" s="262"/>
      <c r="D27" s="214" t="s">
        <v>37</v>
      </c>
      <c r="E27" s="69">
        <v>300</v>
      </c>
      <c r="F27" s="12">
        <v>0</v>
      </c>
      <c r="G27" s="150">
        <f>F27*E27</f>
        <v>0</v>
      </c>
      <c r="H27" s="10">
        <v>4</v>
      </c>
      <c r="I27" s="11">
        <f>H27*E27</f>
        <v>1200</v>
      </c>
      <c r="J27" s="195" t="str">
        <f t="shared" si="0"/>
        <v>-</v>
      </c>
      <c r="K27" s="196" t="str">
        <f t="shared" si="0"/>
        <v>-</v>
      </c>
      <c r="L27" s="85">
        <v>0</v>
      </c>
      <c r="M27" s="82">
        <v>0</v>
      </c>
      <c r="N27" s="77">
        <f t="shared" si="1"/>
        <v>-0.4285714285714286</v>
      </c>
      <c r="O27" s="88">
        <f t="shared" si="1"/>
        <v>-0.44700460829493083</v>
      </c>
      <c r="P27" s="85">
        <v>7</v>
      </c>
      <c r="Q27" s="82">
        <v>2170</v>
      </c>
      <c r="R27" s="185" t="s">
        <v>27</v>
      </c>
    </row>
    <row r="28" spans="1:18">
      <c r="A28" s="268"/>
      <c r="B28" s="259"/>
      <c r="C28" s="263"/>
      <c r="D28" s="250" t="s">
        <v>16</v>
      </c>
      <c r="E28" s="251"/>
      <c r="F28" s="65">
        <f>SUM(F25:F27)</f>
        <v>0</v>
      </c>
      <c r="G28" s="151">
        <f>SUM(G25:G27)</f>
        <v>0</v>
      </c>
      <c r="H28" s="164">
        <f>SUM(H25:H27)</f>
        <v>6</v>
      </c>
      <c r="I28" s="165">
        <f>SUM(I25:I27)</f>
        <v>1510</v>
      </c>
      <c r="J28" s="209">
        <f t="shared" si="0"/>
        <v>-0.45454545454545459</v>
      </c>
      <c r="K28" s="210">
        <f t="shared" si="0"/>
        <v>-0.19680851063829785</v>
      </c>
      <c r="L28" s="65">
        <f>SUM(L25:L27)</f>
        <v>11</v>
      </c>
      <c r="M28" s="74">
        <f>SUM(M25:M27)</f>
        <v>1880</v>
      </c>
      <c r="N28" s="78">
        <f t="shared" si="1"/>
        <v>-0.76923076923076916</v>
      </c>
      <c r="O28" s="89">
        <f t="shared" si="1"/>
        <v>-0.702755905511811</v>
      </c>
      <c r="P28" s="65">
        <f>SUM(P25:P27)</f>
        <v>26</v>
      </c>
      <c r="Q28" s="74">
        <f>SUM(Q25:Q27)</f>
        <v>5080</v>
      </c>
      <c r="R28" s="185"/>
    </row>
    <row r="29" spans="1:18">
      <c r="A29" s="268"/>
      <c r="B29" s="259"/>
      <c r="C29" s="261" t="s">
        <v>17</v>
      </c>
      <c r="D29" s="215" t="s">
        <v>18</v>
      </c>
      <c r="E29" s="70">
        <v>440</v>
      </c>
      <c r="F29" s="5">
        <v>4</v>
      </c>
      <c r="G29" s="6">
        <f>F29*E29</f>
        <v>1760</v>
      </c>
      <c r="H29" s="7">
        <v>25</v>
      </c>
      <c r="I29" s="8">
        <f>H29*E29</f>
        <v>11000</v>
      </c>
      <c r="J29" s="197">
        <f t="shared" si="0"/>
        <v>-7.407407407407407E-2</v>
      </c>
      <c r="K29" s="198">
        <f t="shared" si="0"/>
        <v>-7.407407407407407E-2</v>
      </c>
      <c r="L29" s="86">
        <v>27</v>
      </c>
      <c r="M29" s="83">
        <v>11880</v>
      </c>
      <c r="N29" s="9">
        <f t="shared" si="1"/>
        <v>-0.53703703703703698</v>
      </c>
      <c r="O29" s="90">
        <f t="shared" si="1"/>
        <v>-0.53703703703703698</v>
      </c>
      <c r="P29" s="86">
        <v>54</v>
      </c>
      <c r="Q29" s="83">
        <v>23760</v>
      </c>
      <c r="R29" s="185"/>
    </row>
    <row r="30" spans="1:18">
      <c r="A30" s="268"/>
      <c r="B30" s="259"/>
      <c r="C30" s="262"/>
      <c r="D30" s="214" t="s">
        <v>19</v>
      </c>
      <c r="E30" s="69">
        <v>520</v>
      </c>
      <c r="F30" s="12">
        <v>0</v>
      </c>
      <c r="G30" s="150">
        <f>F30*E30</f>
        <v>0</v>
      </c>
      <c r="H30" s="10">
        <v>12</v>
      </c>
      <c r="I30" s="11">
        <f>H30*E30</f>
        <v>6240</v>
      </c>
      <c r="J30" s="195">
        <f t="shared" si="0"/>
        <v>-0.53846153846153844</v>
      </c>
      <c r="K30" s="196">
        <f t="shared" si="0"/>
        <v>-0.53846153846153844</v>
      </c>
      <c r="L30" s="85">
        <v>26</v>
      </c>
      <c r="M30" s="82">
        <v>13520</v>
      </c>
      <c r="N30" s="77">
        <f t="shared" si="1"/>
        <v>-0.70731707317073167</v>
      </c>
      <c r="O30" s="88">
        <f t="shared" si="1"/>
        <v>-0.7142857142857143</v>
      </c>
      <c r="P30" s="85">
        <v>41</v>
      </c>
      <c r="Q30" s="82">
        <v>21840</v>
      </c>
      <c r="R30" s="185"/>
    </row>
    <row r="31" spans="1:18">
      <c r="A31" s="268"/>
      <c r="B31" s="259"/>
      <c r="C31" s="262"/>
      <c r="D31" s="214" t="s">
        <v>38</v>
      </c>
      <c r="E31" s="69">
        <v>600</v>
      </c>
      <c r="F31" s="12">
        <v>1</v>
      </c>
      <c r="G31" s="150">
        <f>F31*E31</f>
        <v>600</v>
      </c>
      <c r="H31" s="10">
        <v>4</v>
      </c>
      <c r="I31" s="11">
        <f>H31*E31</f>
        <v>2400</v>
      </c>
      <c r="J31" s="195" t="str">
        <f t="shared" si="0"/>
        <v>-</v>
      </c>
      <c r="K31" s="196" t="str">
        <f t="shared" si="0"/>
        <v>-</v>
      </c>
      <c r="L31" s="85">
        <v>0</v>
      </c>
      <c r="M31" s="82">
        <v>0</v>
      </c>
      <c r="N31" s="77" t="str">
        <f t="shared" si="1"/>
        <v>-</v>
      </c>
      <c r="O31" s="88" t="str">
        <f t="shared" si="1"/>
        <v>-</v>
      </c>
      <c r="P31" s="85">
        <v>0</v>
      </c>
      <c r="Q31" s="82">
        <v>0</v>
      </c>
      <c r="R31" s="185"/>
    </row>
    <row r="32" spans="1:18">
      <c r="A32" s="268"/>
      <c r="B32" s="259"/>
      <c r="C32" s="263"/>
      <c r="D32" s="250" t="s">
        <v>16</v>
      </c>
      <c r="E32" s="251"/>
      <c r="F32" s="65">
        <f>SUM(F29:F31)</f>
        <v>5</v>
      </c>
      <c r="G32" s="151">
        <f>SUM(G29:G31)</f>
        <v>2360</v>
      </c>
      <c r="H32" s="164">
        <f>SUM(H29:H31)</f>
        <v>41</v>
      </c>
      <c r="I32" s="165">
        <f>SUM(I29:I31)</f>
        <v>19640</v>
      </c>
      <c r="J32" s="209">
        <f t="shared" si="0"/>
        <v>-0.22641509433962259</v>
      </c>
      <c r="K32" s="210">
        <f t="shared" si="0"/>
        <v>-0.22677165354330708</v>
      </c>
      <c r="L32" s="65">
        <f>SUM(L29:L31)</f>
        <v>53</v>
      </c>
      <c r="M32" s="74">
        <f>SUM(M29:M31)</f>
        <v>25400</v>
      </c>
      <c r="N32" s="78">
        <f t="shared" si="1"/>
        <v>-0.56842105263157894</v>
      </c>
      <c r="O32" s="89">
        <f t="shared" si="1"/>
        <v>-0.56929824561403508</v>
      </c>
      <c r="P32" s="65">
        <f>SUM(P29:P31)</f>
        <v>95</v>
      </c>
      <c r="Q32" s="74">
        <f>SUM(Q29:Q31)</f>
        <v>45600</v>
      </c>
      <c r="R32" s="185"/>
    </row>
    <row r="33" spans="1:18">
      <c r="A33" s="269"/>
      <c r="B33" s="260"/>
      <c r="C33" s="255" t="s">
        <v>20</v>
      </c>
      <c r="D33" s="256"/>
      <c r="E33" s="257"/>
      <c r="F33" s="102">
        <f>SUM(F28,F32)</f>
        <v>5</v>
      </c>
      <c r="G33" s="159">
        <f>SUM(G28,G32)</f>
        <v>2360</v>
      </c>
      <c r="H33" s="175">
        <f>H32+H28</f>
        <v>47</v>
      </c>
      <c r="I33" s="176">
        <f>I32+I28</f>
        <v>21150</v>
      </c>
      <c r="J33" s="211">
        <f t="shared" si="0"/>
        <v>-0.265625</v>
      </c>
      <c r="K33" s="212">
        <f t="shared" si="0"/>
        <v>-0.22470674486803521</v>
      </c>
      <c r="L33" s="102">
        <f>L32+L28</f>
        <v>64</v>
      </c>
      <c r="M33" s="119">
        <f>M32+M28</f>
        <v>27280</v>
      </c>
      <c r="N33" s="122">
        <f t="shared" si="1"/>
        <v>-0.61157024793388426</v>
      </c>
      <c r="O33" s="126">
        <f t="shared" si="1"/>
        <v>-0.58267561168113646</v>
      </c>
      <c r="P33" s="102">
        <f>SUM(P28,P32)</f>
        <v>121</v>
      </c>
      <c r="Q33" s="119">
        <f>SUM(Q28,Q32)</f>
        <v>50680</v>
      </c>
      <c r="R33" s="191"/>
    </row>
    <row r="34" spans="1:18">
      <c r="A34" s="239" t="s">
        <v>28</v>
      </c>
      <c r="B34" s="240"/>
      <c r="C34" s="240"/>
      <c r="D34" s="240"/>
      <c r="E34" s="241"/>
      <c r="F34" s="97">
        <f>F15+F24+F33</f>
        <v>9</v>
      </c>
      <c r="G34" s="158">
        <f>G15+G24+G33</f>
        <v>4810</v>
      </c>
      <c r="H34" s="173">
        <f>H15+H24+H33</f>
        <v>63</v>
      </c>
      <c r="I34" s="174">
        <f>I15+I24+I33</f>
        <v>31170</v>
      </c>
      <c r="J34" s="207">
        <f t="shared" si="0"/>
        <v>-0.27586206896551724</v>
      </c>
      <c r="K34" s="208">
        <f t="shared" si="0"/>
        <v>-0.21624339954739757</v>
      </c>
      <c r="L34" s="97">
        <f>L15+L24+L33</f>
        <v>87</v>
      </c>
      <c r="M34" s="118">
        <f>M15+M24+M33</f>
        <v>39770</v>
      </c>
      <c r="N34" s="121">
        <f t="shared" si="1"/>
        <v>-0.70833333333333326</v>
      </c>
      <c r="O34" s="125">
        <f t="shared" si="1"/>
        <v>-0.67608853787800061</v>
      </c>
      <c r="P34" s="97">
        <f>P33+P24+P15</f>
        <v>216</v>
      </c>
      <c r="Q34" s="118">
        <f>Q33+Q24+Q15</f>
        <v>96230</v>
      </c>
      <c r="R34" s="185"/>
    </row>
    <row r="35" spans="1:18">
      <c r="A35" s="273" t="s">
        <v>46</v>
      </c>
      <c r="B35" s="276" t="s">
        <v>29</v>
      </c>
      <c r="C35" s="278" t="s">
        <v>30</v>
      </c>
      <c r="D35" s="193" t="s">
        <v>19</v>
      </c>
      <c r="E35" s="104">
        <v>990</v>
      </c>
      <c r="F35" s="98">
        <v>0</v>
      </c>
      <c r="G35" s="154">
        <f>F35*E35</f>
        <v>0</v>
      </c>
      <c r="H35" s="17">
        <v>13</v>
      </c>
      <c r="I35" s="18">
        <f>H35*E35</f>
        <v>12870</v>
      </c>
      <c r="J35" s="205">
        <f t="shared" si="0"/>
        <v>2.25</v>
      </c>
      <c r="K35" s="206">
        <f t="shared" si="0"/>
        <v>1.6812499999999999</v>
      </c>
      <c r="L35" s="98">
        <v>4</v>
      </c>
      <c r="M35" s="114">
        <v>4800</v>
      </c>
      <c r="N35" s="19">
        <f t="shared" si="1"/>
        <v>0.30000000000000004</v>
      </c>
      <c r="O35" s="87">
        <f t="shared" si="1"/>
        <v>-0.10624999999999996</v>
      </c>
      <c r="P35" s="98">
        <v>10</v>
      </c>
      <c r="Q35" s="114">
        <v>14400</v>
      </c>
      <c r="R35" s="186"/>
    </row>
    <row r="36" spans="1:18">
      <c r="A36" s="274"/>
      <c r="B36" s="277"/>
      <c r="C36" s="279"/>
      <c r="D36" s="280" t="s">
        <v>16</v>
      </c>
      <c r="E36" s="281"/>
      <c r="F36" s="99">
        <f>F35</f>
        <v>0</v>
      </c>
      <c r="G36" s="155">
        <f>G35</f>
        <v>0</v>
      </c>
      <c r="H36" s="170">
        <f>H35</f>
        <v>13</v>
      </c>
      <c r="I36" s="171">
        <f>I35</f>
        <v>12870</v>
      </c>
      <c r="J36" s="209">
        <f t="shared" si="0"/>
        <v>2.25</v>
      </c>
      <c r="K36" s="210">
        <f t="shared" si="0"/>
        <v>1.6812499999999999</v>
      </c>
      <c r="L36" s="99">
        <f>L35</f>
        <v>4</v>
      </c>
      <c r="M36" s="115">
        <f>M35</f>
        <v>4800</v>
      </c>
      <c r="N36" s="78">
        <f t="shared" si="1"/>
        <v>0.30000000000000004</v>
      </c>
      <c r="O36" s="89">
        <f t="shared" si="1"/>
        <v>-0.10624999999999996</v>
      </c>
      <c r="P36" s="99">
        <f>SUM(P35)</f>
        <v>10</v>
      </c>
      <c r="Q36" s="115">
        <f>SUM(Q35)</f>
        <v>14400</v>
      </c>
      <c r="R36" s="186"/>
    </row>
    <row r="37" spans="1:18" ht="16.5" hidden="1" customHeight="1">
      <c r="A37" s="274"/>
      <c r="B37" s="278" t="s">
        <v>31</v>
      </c>
      <c r="C37" s="273" t="s">
        <v>32</v>
      </c>
      <c r="D37" s="217" t="s">
        <v>33</v>
      </c>
      <c r="E37" s="106">
        <v>50</v>
      </c>
      <c r="F37" s="100"/>
      <c r="G37" s="156"/>
      <c r="H37" s="21"/>
      <c r="I37" s="28"/>
      <c r="J37" s="197" t="str">
        <f t="shared" si="0"/>
        <v>-</v>
      </c>
      <c r="K37" s="198" t="str">
        <f t="shared" si="0"/>
        <v>-</v>
      </c>
      <c r="L37" s="100"/>
      <c r="M37" s="116"/>
      <c r="N37" s="9">
        <f t="shared" si="1"/>
        <v>-1</v>
      </c>
      <c r="O37" s="90">
        <f t="shared" si="1"/>
        <v>-1</v>
      </c>
      <c r="P37" s="100">
        <v>6</v>
      </c>
      <c r="Q37" s="116">
        <v>300</v>
      </c>
      <c r="R37" s="186"/>
    </row>
    <row r="38" spans="1:18" ht="16.5" hidden="1" customHeight="1">
      <c r="A38" s="274"/>
      <c r="B38" s="282"/>
      <c r="C38" s="274"/>
      <c r="D38" s="218" t="s">
        <v>34</v>
      </c>
      <c r="E38" s="107">
        <v>100</v>
      </c>
      <c r="F38" s="101"/>
      <c r="G38" s="157"/>
      <c r="H38" s="20"/>
      <c r="I38" s="172"/>
      <c r="J38" s="195" t="str">
        <f t="shared" si="0"/>
        <v>-</v>
      </c>
      <c r="K38" s="196" t="str">
        <f t="shared" si="0"/>
        <v>-</v>
      </c>
      <c r="L38" s="101"/>
      <c r="M38" s="117"/>
      <c r="N38" s="77">
        <f t="shared" si="1"/>
        <v>-1</v>
      </c>
      <c r="O38" s="88">
        <f t="shared" si="1"/>
        <v>-1</v>
      </c>
      <c r="P38" s="101">
        <v>3</v>
      </c>
      <c r="Q38" s="117">
        <v>300</v>
      </c>
      <c r="R38" s="186"/>
    </row>
    <row r="39" spans="1:18" ht="16.5" hidden="1" customHeight="1">
      <c r="A39" s="274"/>
      <c r="B39" s="282"/>
      <c r="C39" s="274"/>
      <c r="D39" s="218" t="s">
        <v>18</v>
      </c>
      <c r="E39" s="107">
        <v>150</v>
      </c>
      <c r="F39" s="101"/>
      <c r="G39" s="157"/>
      <c r="H39" s="20"/>
      <c r="I39" s="172"/>
      <c r="J39" s="195" t="str">
        <f t="shared" si="0"/>
        <v>-</v>
      </c>
      <c r="K39" s="196" t="str">
        <f t="shared" si="0"/>
        <v>-</v>
      </c>
      <c r="L39" s="101"/>
      <c r="M39" s="117"/>
      <c r="N39" s="77">
        <f t="shared" ref="N39:O70" si="2">IFERROR(H39/P39-1,"-")</f>
        <v>-1</v>
      </c>
      <c r="O39" s="88">
        <f t="shared" si="2"/>
        <v>-1</v>
      </c>
      <c r="P39" s="101">
        <v>1</v>
      </c>
      <c r="Q39" s="117">
        <v>150</v>
      </c>
      <c r="R39" s="186"/>
    </row>
    <row r="40" spans="1:18" ht="16.5" hidden="1" customHeight="1">
      <c r="A40" s="274"/>
      <c r="B40" s="282"/>
      <c r="C40" s="274"/>
      <c r="D40" s="218" t="s">
        <v>19</v>
      </c>
      <c r="E40" s="107">
        <v>200</v>
      </c>
      <c r="F40" s="101"/>
      <c r="G40" s="157"/>
      <c r="H40" s="20"/>
      <c r="I40" s="172"/>
      <c r="J40" s="195" t="str">
        <f t="shared" si="0"/>
        <v>-</v>
      </c>
      <c r="K40" s="196" t="str">
        <f t="shared" si="0"/>
        <v>-</v>
      </c>
      <c r="L40" s="101"/>
      <c r="M40" s="117"/>
      <c r="N40" s="77">
        <f t="shared" si="2"/>
        <v>-1</v>
      </c>
      <c r="O40" s="88">
        <f t="shared" si="2"/>
        <v>-1</v>
      </c>
      <c r="P40" s="101">
        <v>1</v>
      </c>
      <c r="Q40" s="117">
        <v>200</v>
      </c>
      <c r="R40" s="186"/>
    </row>
    <row r="41" spans="1:18" ht="16.5" hidden="1" customHeight="1">
      <c r="A41" s="274"/>
      <c r="B41" s="282"/>
      <c r="C41" s="274"/>
      <c r="D41" s="218" t="s">
        <v>38</v>
      </c>
      <c r="E41" s="107">
        <v>250</v>
      </c>
      <c r="F41" s="101"/>
      <c r="G41" s="157"/>
      <c r="H41" s="20"/>
      <c r="I41" s="172"/>
      <c r="J41" s="195" t="str">
        <f t="shared" si="0"/>
        <v>-</v>
      </c>
      <c r="K41" s="196" t="str">
        <f t="shared" si="0"/>
        <v>-</v>
      </c>
      <c r="L41" s="101"/>
      <c r="M41" s="117"/>
      <c r="N41" s="77" t="str">
        <f t="shared" si="2"/>
        <v>-</v>
      </c>
      <c r="O41" s="88" t="str">
        <f t="shared" si="2"/>
        <v>-</v>
      </c>
      <c r="P41" s="101">
        <v>0</v>
      </c>
      <c r="Q41" s="117">
        <v>0</v>
      </c>
      <c r="R41" s="186"/>
    </row>
    <row r="42" spans="1:18" ht="16.5" hidden="1" customHeight="1">
      <c r="A42" s="275"/>
      <c r="B42" s="283"/>
      <c r="C42" s="275"/>
      <c r="D42" s="216" t="s">
        <v>16</v>
      </c>
      <c r="E42" s="105">
        <v>0</v>
      </c>
      <c r="F42" s="99"/>
      <c r="G42" s="155"/>
      <c r="H42" s="170"/>
      <c r="I42" s="171"/>
      <c r="J42" s="209" t="str">
        <f t="shared" si="0"/>
        <v>-</v>
      </c>
      <c r="K42" s="210" t="str">
        <f t="shared" si="0"/>
        <v>-</v>
      </c>
      <c r="L42" s="99"/>
      <c r="M42" s="115"/>
      <c r="N42" s="78">
        <f t="shared" si="2"/>
        <v>-1</v>
      </c>
      <c r="O42" s="89">
        <f t="shared" si="2"/>
        <v>-1</v>
      </c>
      <c r="P42" s="99">
        <f>SUM(P37:P41)</f>
        <v>11</v>
      </c>
      <c r="Q42" s="115">
        <f>SUM(Q37:Q41)</f>
        <v>950</v>
      </c>
      <c r="R42" s="192"/>
    </row>
    <row r="43" spans="1:18">
      <c r="A43" s="376" t="s">
        <v>47</v>
      </c>
      <c r="B43" s="377"/>
      <c r="C43" s="377"/>
      <c r="D43" s="377"/>
      <c r="E43" s="390"/>
      <c r="F43" s="97">
        <f>F42+F36</f>
        <v>0</v>
      </c>
      <c r="G43" s="158">
        <f>G42+G36</f>
        <v>0</v>
      </c>
      <c r="H43" s="173">
        <f>H42+H36</f>
        <v>13</v>
      </c>
      <c r="I43" s="174">
        <f>I42+I36</f>
        <v>12870</v>
      </c>
      <c r="J43" s="207">
        <f t="shared" si="0"/>
        <v>2.25</v>
      </c>
      <c r="K43" s="208">
        <f t="shared" si="0"/>
        <v>1.6812499999999999</v>
      </c>
      <c r="L43" s="97">
        <f>L42+L36</f>
        <v>4</v>
      </c>
      <c r="M43" s="118">
        <f>M42+M36</f>
        <v>4800</v>
      </c>
      <c r="N43" s="121">
        <f t="shared" si="2"/>
        <v>-0.38095238095238093</v>
      </c>
      <c r="O43" s="125">
        <f t="shared" si="2"/>
        <v>-0.16156351791530943</v>
      </c>
      <c r="P43" s="97">
        <f>P42+P36</f>
        <v>21</v>
      </c>
      <c r="Q43" s="118">
        <f>Q42+Q36</f>
        <v>15350</v>
      </c>
      <c r="R43" s="186"/>
    </row>
    <row r="44" spans="1:18" ht="16.5" hidden="1" customHeight="1">
      <c r="A44" s="267" t="s">
        <v>48</v>
      </c>
      <c r="B44" s="258" t="s">
        <v>11</v>
      </c>
      <c r="C44" s="261" t="s">
        <v>12</v>
      </c>
      <c r="D44" s="213" t="s">
        <v>13</v>
      </c>
      <c r="E44" s="68">
        <v>275</v>
      </c>
      <c r="F44" s="13">
        <v>0</v>
      </c>
      <c r="G44" s="14">
        <f>F44*E44</f>
        <v>0</v>
      </c>
      <c r="H44" s="15">
        <f>F44</f>
        <v>0</v>
      </c>
      <c r="I44" s="16">
        <f>H44*E44</f>
        <v>0</v>
      </c>
      <c r="J44" s="205" t="str">
        <f t="shared" si="0"/>
        <v>-</v>
      </c>
      <c r="K44" s="206" t="str">
        <f t="shared" si="0"/>
        <v>-</v>
      </c>
      <c r="L44" s="84"/>
      <c r="M44" s="81"/>
      <c r="N44" s="19">
        <f t="shared" si="2"/>
        <v>-1</v>
      </c>
      <c r="O44" s="87">
        <f t="shared" si="2"/>
        <v>-1</v>
      </c>
      <c r="P44" s="84">
        <v>3</v>
      </c>
      <c r="Q44" s="81">
        <v>650</v>
      </c>
      <c r="R44" s="187"/>
    </row>
    <row r="45" spans="1:18" ht="16.5" hidden="1" customHeight="1">
      <c r="A45" s="268"/>
      <c r="B45" s="259"/>
      <c r="C45" s="262"/>
      <c r="D45" s="214" t="s">
        <v>15</v>
      </c>
      <c r="E45" s="69">
        <v>180</v>
      </c>
      <c r="F45" s="12"/>
      <c r="G45" s="150"/>
      <c r="H45" s="10">
        <v>0</v>
      </c>
      <c r="I45" s="11">
        <f>H45*E45</f>
        <v>0</v>
      </c>
      <c r="J45" s="195" t="str">
        <f t="shared" si="0"/>
        <v>-</v>
      </c>
      <c r="K45" s="196" t="str">
        <f t="shared" si="0"/>
        <v>-</v>
      </c>
      <c r="L45" s="85"/>
      <c r="M45" s="82"/>
      <c r="N45" s="77" t="str">
        <f t="shared" si="2"/>
        <v>-</v>
      </c>
      <c r="O45" s="88" t="str">
        <f t="shared" si="2"/>
        <v>-</v>
      </c>
      <c r="P45" s="85">
        <v>0</v>
      </c>
      <c r="Q45" s="82">
        <v>0</v>
      </c>
      <c r="R45" s="187"/>
    </row>
    <row r="46" spans="1:18" ht="16.5" hidden="1" customHeight="1">
      <c r="A46" s="268"/>
      <c r="B46" s="259"/>
      <c r="C46" s="262"/>
      <c r="D46" s="214" t="s">
        <v>37</v>
      </c>
      <c r="E46" s="69">
        <v>420</v>
      </c>
      <c r="F46" s="12">
        <v>0</v>
      </c>
      <c r="G46" s="150">
        <f>F46*E46</f>
        <v>0</v>
      </c>
      <c r="H46" s="10">
        <v>0</v>
      </c>
      <c r="I46" s="11">
        <f>H46*E46</f>
        <v>0</v>
      </c>
      <c r="J46" s="195" t="str">
        <f t="shared" si="0"/>
        <v>-</v>
      </c>
      <c r="K46" s="196" t="str">
        <f t="shared" si="0"/>
        <v>-</v>
      </c>
      <c r="L46" s="85"/>
      <c r="M46" s="82"/>
      <c r="N46" s="77" t="str">
        <f t="shared" si="2"/>
        <v>-</v>
      </c>
      <c r="O46" s="88" t="str">
        <f t="shared" si="2"/>
        <v>-</v>
      </c>
      <c r="P46" s="85">
        <v>0</v>
      </c>
      <c r="Q46" s="82">
        <v>0</v>
      </c>
      <c r="R46" s="186"/>
    </row>
    <row r="47" spans="1:18" ht="16.5" hidden="1" customHeight="1">
      <c r="A47" s="268"/>
      <c r="B47" s="259"/>
      <c r="C47" s="263"/>
      <c r="D47" s="250" t="s">
        <v>16</v>
      </c>
      <c r="E47" s="251"/>
      <c r="F47" s="65">
        <f>SUM(F44:F46)</f>
        <v>0</v>
      </c>
      <c r="G47" s="151">
        <f>SUM(G44:G46)</f>
        <v>0</v>
      </c>
      <c r="H47" s="164">
        <f>SUM(H44:H46)</f>
        <v>0</v>
      </c>
      <c r="I47" s="165">
        <f>SUM(I44:I46)</f>
        <v>0</v>
      </c>
      <c r="J47" s="209" t="str">
        <f t="shared" si="0"/>
        <v>-</v>
      </c>
      <c r="K47" s="210" t="str">
        <f t="shared" si="0"/>
        <v>-</v>
      </c>
      <c r="L47" s="65">
        <f>SUM(L44:L46)</f>
        <v>0</v>
      </c>
      <c r="M47" s="74">
        <f>SUM(M44:M46)</f>
        <v>0</v>
      </c>
      <c r="N47" s="78">
        <f t="shared" si="2"/>
        <v>-1</v>
      </c>
      <c r="O47" s="89">
        <f t="shared" si="2"/>
        <v>-1</v>
      </c>
      <c r="P47" s="65">
        <f>SUM(P44:P46)</f>
        <v>3</v>
      </c>
      <c r="Q47" s="74">
        <f>SUM(Q44:Q46)</f>
        <v>650</v>
      </c>
      <c r="R47" s="186"/>
    </row>
    <row r="48" spans="1:18" ht="16.5" hidden="1" customHeight="1">
      <c r="A48" s="268"/>
      <c r="B48" s="259"/>
      <c r="C48" s="261" t="s">
        <v>17</v>
      </c>
      <c r="D48" s="215" t="s">
        <v>18</v>
      </c>
      <c r="E48" s="70">
        <v>550</v>
      </c>
      <c r="F48" s="5"/>
      <c r="G48" s="6">
        <f>F48*E48</f>
        <v>0</v>
      </c>
      <c r="H48" s="7"/>
      <c r="I48" s="8">
        <f>H48*E48</f>
        <v>0</v>
      </c>
      <c r="J48" s="197" t="str">
        <f t="shared" si="0"/>
        <v>-</v>
      </c>
      <c r="K48" s="198" t="str">
        <f t="shared" si="0"/>
        <v>-</v>
      </c>
      <c r="L48" s="86"/>
      <c r="M48" s="83"/>
      <c r="N48" s="9">
        <f t="shared" si="2"/>
        <v>-1</v>
      </c>
      <c r="O48" s="90">
        <f t="shared" si="2"/>
        <v>-1</v>
      </c>
      <c r="P48" s="86">
        <v>1</v>
      </c>
      <c r="Q48" s="83">
        <v>720</v>
      </c>
      <c r="R48" s="186"/>
    </row>
    <row r="49" spans="1:18" ht="16.5" hidden="1" customHeight="1">
      <c r="A49" s="268"/>
      <c r="B49" s="259"/>
      <c r="C49" s="262"/>
      <c r="D49" s="214" t="s">
        <v>19</v>
      </c>
      <c r="E49" s="69">
        <v>675</v>
      </c>
      <c r="F49" s="12"/>
      <c r="G49" s="150"/>
      <c r="H49" s="10">
        <v>0</v>
      </c>
      <c r="I49" s="11">
        <f>H49*E49</f>
        <v>0</v>
      </c>
      <c r="J49" s="195" t="str">
        <f t="shared" si="0"/>
        <v>-</v>
      </c>
      <c r="K49" s="196" t="str">
        <f t="shared" si="0"/>
        <v>-</v>
      </c>
      <c r="L49" s="85"/>
      <c r="M49" s="82"/>
      <c r="N49" s="77">
        <f t="shared" si="2"/>
        <v>-1</v>
      </c>
      <c r="O49" s="88">
        <f t="shared" si="2"/>
        <v>-1</v>
      </c>
      <c r="P49" s="85">
        <v>1</v>
      </c>
      <c r="Q49" s="82">
        <v>880</v>
      </c>
      <c r="R49" s="186"/>
    </row>
    <row r="50" spans="1:18" ht="16.5" hidden="1" customHeight="1">
      <c r="A50" s="268"/>
      <c r="B50" s="259"/>
      <c r="C50" s="262"/>
      <c r="D50" s="214" t="s">
        <v>38</v>
      </c>
      <c r="E50" s="69">
        <v>810</v>
      </c>
      <c r="F50" s="12">
        <v>0</v>
      </c>
      <c r="G50" s="150">
        <f>F50*E50</f>
        <v>0</v>
      </c>
      <c r="H50" s="10">
        <v>0</v>
      </c>
      <c r="I50" s="11">
        <f>H50*E50</f>
        <v>0</v>
      </c>
      <c r="J50" s="195" t="str">
        <f t="shared" si="0"/>
        <v>-</v>
      </c>
      <c r="K50" s="196" t="str">
        <f t="shared" si="0"/>
        <v>-</v>
      </c>
      <c r="L50" s="85"/>
      <c r="M50" s="82"/>
      <c r="N50" s="77" t="str">
        <f t="shared" si="2"/>
        <v>-</v>
      </c>
      <c r="O50" s="88" t="str">
        <f t="shared" si="2"/>
        <v>-</v>
      </c>
      <c r="P50" s="85">
        <v>0</v>
      </c>
      <c r="Q50" s="82">
        <v>0</v>
      </c>
      <c r="R50" s="186"/>
    </row>
    <row r="51" spans="1:18" ht="16.5" hidden="1" customHeight="1">
      <c r="A51" s="268"/>
      <c r="B51" s="259"/>
      <c r="C51" s="263"/>
      <c r="D51" s="250" t="s">
        <v>16</v>
      </c>
      <c r="E51" s="251"/>
      <c r="F51" s="65">
        <f>SUM(F48:F50)</f>
        <v>0</v>
      </c>
      <c r="G51" s="151">
        <f>SUM(G48:G50)</f>
        <v>0</v>
      </c>
      <c r="H51" s="164">
        <f>SUM(H48:H50)</f>
        <v>0</v>
      </c>
      <c r="I51" s="165">
        <f>SUM(I48:I50)</f>
        <v>0</v>
      </c>
      <c r="J51" s="209" t="str">
        <f t="shared" si="0"/>
        <v>-</v>
      </c>
      <c r="K51" s="210" t="str">
        <f t="shared" si="0"/>
        <v>-</v>
      </c>
      <c r="L51" s="65">
        <f>SUM(L48:L50)</f>
        <v>0</v>
      </c>
      <c r="M51" s="74">
        <f>SUM(M48:M50)</f>
        <v>0</v>
      </c>
      <c r="N51" s="78">
        <f t="shared" si="2"/>
        <v>-1</v>
      </c>
      <c r="O51" s="89">
        <f t="shared" si="2"/>
        <v>-1</v>
      </c>
      <c r="P51" s="65">
        <f>SUM(P48:P50)</f>
        <v>2</v>
      </c>
      <c r="Q51" s="74">
        <f>SUM(Q48:Q50)</f>
        <v>1600</v>
      </c>
      <c r="R51" s="186"/>
    </row>
    <row r="52" spans="1:18" ht="16.5" hidden="1" customHeight="1">
      <c r="A52" s="268"/>
      <c r="B52" s="260"/>
      <c r="C52" s="270" t="s">
        <v>20</v>
      </c>
      <c r="D52" s="271"/>
      <c r="E52" s="272"/>
      <c r="F52" s="102">
        <f>SUM(F47,F51)</f>
        <v>0</v>
      </c>
      <c r="G52" s="159">
        <f>SUM(G47,G51)</f>
        <v>0</v>
      </c>
      <c r="H52" s="175">
        <f>H51+H47</f>
        <v>0</v>
      </c>
      <c r="I52" s="176">
        <f>I51+I47</f>
        <v>0</v>
      </c>
      <c r="J52" s="211" t="str">
        <f t="shared" si="0"/>
        <v>-</v>
      </c>
      <c r="K52" s="212" t="str">
        <f t="shared" si="0"/>
        <v>-</v>
      </c>
      <c r="L52" s="102">
        <f>L51+L47</f>
        <v>0</v>
      </c>
      <c r="M52" s="119">
        <f>M51+M47</f>
        <v>0</v>
      </c>
      <c r="N52" s="122">
        <f t="shared" si="2"/>
        <v>-1</v>
      </c>
      <c r="O52" s="126">
        <f t="shared" si="2"/>
        <v>-1</v>
      </c>
      <c r="P52" s="102">
        <f>P51+P47</f>
        <v>5</v>
      </c>
      <c r="Q52" s="119">
        <f>Q51+Q47</f>
        <v>2250</v>
      </c>
      <c r="R52" s="186"/>
    </row>
    <row r="53" spans="1:18" ht="16.5" hidden="1" customHeight="1">
      <c r="A53" s="268"/>
      <c r="B53" s="258" t="s">
        <v>21</v>
      </c>
      <c r="C53" s="252" t="s">
        <v>12</v>
      </c>
      <c r="D53" s="215" t="s">
        <v>13</v>
      </c>
      <c r="E53" s="70">
        <v>190</v>
      </c>
      <c r="F53" s="5">
        <v>0</v>
      </c>
      <c r="G53" s="6">
        <f>F53*E53</f>
        <v>0</v>
      </c>
      <c r="H53" s="7">
        <v>0</v>
      </c>
      <c r="I53" s="8">
        <f>H53*E53</f>
        <v>0</v>
      </c>
      <c r="J53" s="197" t="str">
        <f t="shared" si="0"/>
        <v>-</v>
      </c>
      <c r="K53" s="198" t="str">
        <f t="shared" si="0"/>
        <v>-</v>
      </c>
      <c r="L53" s="86"/>
      <c r="M53" s="83"/>
      <c r="N53" s="9" t="str">
        <f t="shared" si="2"/>
        <v>-</v>
      </c>
      <c r="O53" s="90" t="str">
        <f t="shared" si="2"/>
        <v>-</v>
      </c>
      <c r="P53" s="86">
        <v>0</v>
      </c>
      <c r="Q53" s="83">
        <v>0</v>
      </c>
      <c r="R53" s="188"/>
    </row>
    <row r="54" spans="1:18" ht="16.5" hidden="1" customHeight="1">
      <c r="A54" s="268"/>
      <c r="B54" s="259"/>
      <c r="C54" s="253"/>
      <c r="D54" s="214" t="s">
        <v>15</v>
      </c>
      <c r="E54" s="69">
        <v>120</v>
      </c>
      <c r="F54" s="12"/>
      <c r="G54" s="150"/>
      <c r="H54" s="10">
        <v>0</v>
      </c>
      <c r="I54" s="11">
        <f>H54*E54</f>
        <v>0</v>
      </c>
      <c r="J54" s="195" t="str">
        <f t="shared" si="0"/>
        <v>-</v>
      </c>
      <c r="K54" s="196" t="str">
        <f t="shared" si="0"/>
        <v>-</v>
      </c>
      <c r="L54" s="85"/>
      <c r="M54" s="82"/>
      <c r="N54" s="77" t="str">
        <f t="shared" si="2"/>
        <v>-</v>
      </c>
      <c r="O54" s="88" t="str">
        <f t="shared" si="2"/>
        <v>-</v>
      </c>
      <c r="P54" s="85">
        <v>0</v>
      </c>
      <c r="Q54" s="82">
        <v>0</v>
      </c>
      <c r="R54" s="188"/>
    </row>
    <row r="55" spans="1:18" ht="16.5" hidden="1" customHeight="1">
      <c r="A55" s="268"/>
      <c r="B55" s="259"/>
      <c r="C55" s="253"/>
      <c r="D55" s="214" t="s">
        <v>37</v>
      </c>
      <c r="E55" s="69">
        <v>300</v>
      </c>
      <c r="F55" s="12">
        <v>0</v>
      </c>
      <c r="G55" s="150">
        <f>F55*E55</f>
        <v>0</v>
      </c>
      <c r="H55" s="10">
        <v>0</v>
      </c>
      <c r="I55" s="11">
        <f>H55*E55</f>
        <v>0</v>
      </c>
      <c r="J55" s="195" t="str">
        <f t="shared" si="0"/>
        <v>-</v>
      </c>
      <c r="K55" s="196" t="str">
        <f t="shared" si="0"/>
        <v>-</v>
      </c>
      <c r="L55" s="85"/>
      <c r="M55" s="82"/>
      <c r="N55" s="77" t="str">
        <f t="shared" si="2"/>
        <v>-</v>
      </c>
      <c r="O55" s="88" t="str">
        <f t="shared" si="2"/>
        <v>-</v>
      </c>
      <c r="P55" s="85">
        <v>0</v>
      </c>
      <c r="Q55" s="82">
        <v>0</v>
      </c>
      <c r="R55" s="188"/>
    </row>
    <row r="56" spans="1:18" ht="16.5" hidden="1" customHeight="1">
      <c r="A56" s="268"/>
      <c r="B56" s="259"/>
      <c r="C56" s="254"/>
      <c r="D56" s="250" t="s">
        <v>16</v>
      </c>
      <c r="E56" s="251"/>
      <c r="F56" s="65">
        <f>SUM(F53:F55)</f>
        <v>0</v>
      </c>
      <c r="G56" s="151">
        <f>SUM(G53:G55)</f>
        <v>0</v>
      </c>
      <c r="H56" s="164">
        <f>SUM(H53:H55)</f>
        <v>0</v>
      </c>
      <c r="I56" s="165">
        <f>SUM(I53:I55)</f>
        <v>0</v>
      </c>
      <c r="J56" s="209" t="str">
        <f t="shared" si="0"/>
        <v>-</v>
      </c>
      <c r="K56" s="210" t="str">
        <f t="shared" si="0"/>
        <v>-</v>
      </c>
      <c r="L56" s="65">
        <f>SUM(L53:L55)</f>
        <v>0</v>
      </c>
      <c r="M56" s="74">
        <f>SUM(M53:M55)</f>
        <v>0</v>
      </c>
      <c r="N56" s="78" t="str">
        <f t="shared" si="2"/>
        <v>-</v>
      </c>
      <c r="O56" s="89" t="str">
        <f t="shared" si="2"/>
        <v>-</v>
      </c>
      <c r="P56" s="65">
        <f>SUM(P53:P55)</f>
        <v>0</v>
      </c>
      <c r="Q56" s="74">
        <f>SUM(Q53:Q55)</f>
        <v>0</v>
      </c>
      <c r="R56" s="188"/>
    </row>
    <row r="57" spans="1:18" ht="16.5" hidden="1" customHeight="1">
      <c r="A57" s="268"/>
      <c r="B57" s="259"/>
      <c r="C57" s="252" t="s">
        <v>17</v>
      </c>
      <c r="D57" s="215" t="s">
        <v>18</v>
      </c>
      <c r="E57" s="70">
        <v>440</v>
      </c>
      <c r="F57" s="5">
        <v>0</v>
      </c>
      <c r="G57" s="6">
        <f>F57*E57</f>
        <v>0</v>
      </c>
      <c r="H57" s="7">
        <v>0</v>
      </c>
      <c r="I57" s="8">
        <f>H57*E57</f>
        <v>0</v>
      </c>
      <c r="J57" s="197" t="str">
        <f t="shared" si="0"/>
        <v>-</v>
      </c>
      <c r="K57" s="198" t="str">
        <f t="shared" si="0"/>
        <v>-</v>
      </c>
      <c r="L57" s="86"/>
      <c r="M57" s="83"/>
      <c r="N57" s="9" t="str">
        <f t="shared" si="2"/>
        <v>-</v>
      </c>
      <c r="O57" s="90" t="str">
        <f t="shared" si="2"/>
        <v>-</v>
      </c>
      <c r="P57" s="86">
        <v>0</v>
      </c>
      <c r="Q57" s="83">
        <v>0</v>
      </c>
      <c r="R57" s="188"/>
    </row>
    <row r="58" spans="1:18" ht="16.5" hidden="1" customHeight="1">
      <c r="A58" s="268"/>
      <c r="B58" s="259"/>
      <c r="C58" s="253"/>
      <c r="D58" s="214" t="s">
        <v>19</v>
      </c>
      <c r="E58" s="69">
        <v>520</v>
      </c>
      <c r="F58" s="12">
        <v>0</v>
      </c>
      <c r="G58" s="150">
        <v>0</v>
      </c>
      <c r="H58" s="10">
        <v>0</v>
      </c>
      <c r="I58" s="11">
        <f>H58*E58</f>
        <v>0</v>
      </c>
      <c r="J58" s="195" t="str">
        <f t="shared" si="0"/>
        <v>-</v>
      </c>
      <c r="K58" s="196" t="str">
        <f t="shared" si="0"/>
        <v>-</v>
      </c>
      <c r="L58" s="85"/>
      <c r="M58" s="82"/>
      <c r="N58" s="77" t="str">
        <f t="shared" si="2"/>
        <v>-</v>
      </c>
      <c r="O58" s="88" t="str">
        <f t="shared" si="2"/>
        <v>-</v>
      </c>
      <c r="P58" s="85">
        <v>0</v>
      </c>
      <c r="Q58" s="82">
        <v>0</v>
      </c>
      <c r="R58" s="188"/>
    </row>
    <row r="59" spans="1:18" ht="16.5" hidden="1" customHeight="1">
      <c r="A59" s="268"/>
      <c r="B59" s="259"/>
      <c r="C59" s="253"/>
      <c r="D59" s="214" t="s">
        <v>38</v>
      </c>
      <c r="E59" s="69">
        <v>600</v>
      </c>
      <c r="F59" s="12">
        <v>0</v>
      </c>
      <c r="G59" s="150">
        <f>F59*E59</f>
        <v>0</v>
      </c>
      <c r="H59" s="10">
        <v>0</v>
      </c>
      <c r="I59" s="11">
        <f>H59*E59</f>
        <v>0</v>
      </c>
      <c r="J59" s="195" t="str">
        <f t="shared" si="0"/>
        <v>-</v>
      </c>
      <c r="K59" s="196" t="str">
        <f t="shared" si="0"/>
        <v>-</v>
      </c>
      <c r="L59" s="85"/>
      <c r="M59" s="82"/>
      <c r="N59" s="77" t="str">
        <f t="shared" si="2"/>
        <v>-</v>
      </c>
      <c r="O59" s="88" t="str">
        <f t="shared" si="2"/>
        <v>-</v>
      </c>
      <c r="P59" s="85">
        <v>0</v>
      </c>
      <c r="Q59" s="82">
        <v>0</v>
      </c>
      <c r="R59" s="188"/>
    </row>
    <row r="60" spans="1:18" ht="16.5" hidden="1" customHeight="1">
      <c r="A60" s="268"/>
      <c r="B60" s="259"/>
      <c r="C60" s="254"/>
      <c r="D60" s="250" t="s">
        <v>16</v>
      </c>
      <c r="E60" s="251"/>
      <c r="F60" s="65">
        <f>SUM(F57:F59)</f>
        <v>0</v>
      </c>
      <c r="G60" s="151">
        <f>SUM(G57:G59)</f>
        <v>0</v>
      </c>
      <c r="H60" s="164">
        <f>SUM(H57:H59)</f>
        <v>0</v>
      </c>
      <c r="I60" s="165">
        <f>SUM(I57:I59)</f>
        <v>0</v>
      </c>
      <c r="J60" s="209" t="str">
        <f t="shared" si="0"/>
        <v>-</v>
      </c>
      <c r="K60" s="210" t="str">
        <f t="shared" si="0"/>
        <v>-</v>
      </c>
      <c r="L60" s="65">
        <f>SUM(L57:L59)</f>
        <v>0</v>
      </c>
      <c r="M60" s="74">
        <f>SUM(M57:M59)</f>
        <v>0</v>
      </c>
      <c r="N60" s="78" t="str">
        <f t="shared" si="2"/>
        <v>-</v>
      </c>
      <c r="O60" s="89" t="str">
        <f t="shared" si="2"/>
        <v>-</v>
      </c>
      <c r="P60" s="65">
        <f>SUM(P57:P59)</f>
        <v>0</v>
      </c>
      <c r="Q60" s="74">
        <f>SUM(Q57:Q59)</f>
        <v>0</v>
      </c>
      <c r="R60" s="188"/>
    </row>
    <row r="61" spans="1:18" ht="16.5" hidden="1" customHeight="1">
      <c r="A61" s="268"/>
      <c r="B61" s="260"/>
      <c r="C61" s="255" t="s">
        <v>20</v>
      </c>
      <c r="D61" s="256"/>
      <c r="E61" s="257"/>
      <c r="F61" s="102">
        <f>SUM(F56,F60)</f>
        <v>0</v>
      </c>
      <c r="G61" s="159">
        <f>SUM(G56,G60)</f>
        <v>0</v>
      </c>
      <c r="H61" s="175">
        <f>H60+H56</f>
        <v>0</v>
      </c>
      <c r="I61" s="176">
        <f>I60+I56</f>
        <v>0</v>
      </c>
      <c r="J61" s="211" t="str">
        <f t="shared" si="0"/>
        <v>-</v>
      </c>
      <c r="K61" s="212" t="str">
        <f t="shared" si="0"/>
        <v>-</v>
      </c>
      <c r="L61" s="102">
        <f>L60+L56</f>
        <v>0</v>
      </c>
      <c r="M61" s="119">
        <f>M60+M56</f>
        <v>0</v>
      </c>
      <c r="N61" s="122" t="str">
        <f t="shared" si="2"/>
        <v>-</v>
      </c>
      <c r="O61" s="126" t="str">
        <f t="shared" si="2"/>
        <v>-</v>
      </c>
      <c r="P61" s="102">
        <f>SUM(P56,P60)</f>
        <v>0</v>
      </c>
      <c r="Q61" s="119">
        <f>SUM(Q56,Q60)</f>
        <v>0</v>
      </c>
      <c r="R61" s="188"/>
    </row>
    <row r="62" spans="1:18" ht="16.5" hidden="1" customHeight="1">
      <c r="A62" s="268"/>
      <c r="B62" s="258" t="s">
        <v>26</v>
      </c>
      <c r="C62" s="261" t="s">
        <v>12</v>
      </c>
      <c r="D62" s="215" t="s">
        <v>13</v>
      </c>
      <c r="E62" s="70">
        <v>190</v>
      </c>
      <c r="F62" s="5">
        <v>0</v>
      </c>
      <c r="G62" s="6">
        <f>F62*E62</f>
        <v>0</v>
      </c>
      <c r="H62" s="7">
        <v>0</v>
      </c>
      <c r="I62" s="8">
        <f>H62*E62</f>
        <v>0</v>
      </c>
      <c r="J62" s="197" t="str">
        <f t="shared" si="0"/>
        <v>-</v>
      </c>
      <c r="K62" s="198" t="str">
        <f t="shared" si="0"/>
        <v>-</v>
      </c>
      <c r="L62" s="86"/>
      <c r="M62" s="83"/>
      <c r="N62" s="9">
        <f t="shared" si="2"/>
        <v>-1</v>
      </c>
      <c r="O62" s="90">
        <f t="shared" si="2"/>
        <v>-1</v>
      </c>
      <c r="P62" s="86">
        <v>5</v>
      </c>
      <c r="Q62" s="83">
        <v>1020</v>
      </c>
      <c r="R62" s="188"/>
    </row>
    <row r="63" spans="1:18" ht="16.5" hidden="1" customHeight="1">
      <c r="A63" s="268"/>
      <c r="B63" s="259"/>
      <c r="C63" s="262"/>
      <c r="D63" s="214" t="s">
        <v>15</v>
      </c>
      <c r="E63" s="69">
        <v>120</v>
      </c>
      <c r="F63" s="12">
        <v>0</v>
      </c>
      <c r="G63" s="150">
        <v>0</v>
      </c>
      <c r="H63" s="10">
        <v>0</v>
      </c>
      <c r="I63" s="11">
        <f>H63*E63</f>
        <v>0</v>
      </c>
      <c r="J63" s="195" t="str">
        <f t="shared" si="0"/>
        <v>-</v>
      </c>
      <c r="K63" s="196" t="str">
        <f t="shared" si="0"/>
        <v>-</v>
      </c>
      <c r="L63" s="85"/>
      <c r="M63" s="82"/>
      <c r="N63" s="77" t="str">
        <f t="shared" si="2"/>
        <v>-</v>
      </c>
      <c r="O63" s="88" t="str">
        <f t="shared" si="2"/>
        <v>-</v>
      </c>
      <c r="P63" s="85">
        <v>0</v>
      </c>
      <c r="Q63" s="82">
        <v>0</v>
      </c>
      <c r="R63" s="188"/>
    </row>
    <row r="64" spans="1:18" ht="16.5" hidden="1" customHeight="1">
      <c r="A64" s="268"/>
      <c r="B64" s="259"/>
      <c r="C64" s="262"/>
      <c r="D64" s="214" t="s">
        <v>37</v>
      </c>
      <c r="E64" s="69">
        <v>300</v>
      </c>
      <c r="F64" s="12">
        <v>0</v>
      </c>
      <c r="G64" s="150">
        <f>F64*E64</f>
        <v>0</v>
      </c>
      <c r="H64" s="10">
        <v>0</v>
      </c>
      <c r="I64" s="11">
        <f>H64*E64</f>
        <v>0</v>
      </c>
      <c r="J64" s="195" t="str">
        <f t="shared" si="0"/>
        <v>-</v>
      </c>
      <c r="K64" s="196" t="str">
        <f t="shared" si="0"/>
        <v>-</v>
      </c>
      <c r="L64" s="85"/>
      <c r="M64" s="82"/>
      <c r="N64" s="77">
        <f t="shared" si="2"/>
        <v>-1</v>
      </c>
      <c r="O64" s="88">
        <f t="shared" si="2"/>
        <v>-1</v>
      </c>
      <c r="P64" s="85">
        <v>5</v>
      </c>
      <c r="Q64" s="82">
        <v>1800</v>
      </c>
      <c r="R64" s="188"/>
    </row>
    <row r="65" spans="1:18" ht="16.5" hidden="1" customHeight="1">
      <c r="A65" s="268"/>
      <c r="B65" s="259"/>
      <c r="C65" s="263"/>
      <c r="D65" s="250" t="s">
        <v>16</v>
      </c>
      <c r="E65" s="251"/>
      <c r="F65" s="65">
        <f>SUM(F62:F64)</f>
        <v>0</v>
      </c>
      <c r="G65" s="151">
        <f>SUM(G62:G64)</f>
        <v>0</v>
      </c>
      <c r="H65" s="164">
        <f>SUM(H62:H64)</f>
        <v>0</v>
      </c>
      <c r="I65" s="165">
        <f>SUM(I62:I64)</f>
        <v>0</v>
      </c>
      <c r="J65" s="209" t="str">
        <f t="shared" si="0"/>
        <v>-</v>
      </c>
      <c r="K65" s="210" t="str">
        <f t="shared" si="0"/>
        <v>-</v>
      </c>
      <c r="L65" s="65">
        <f>SUM(L62:L64)</f>
        <v>0</v>
      </c>
      <c r="M65" s="74">
        <f>SUM(M62:M64)</f>
        <v>0</v>
      </c>
      <c r="N65" s="78">
        <f t="shared" si="2"/>
        <v>-1</v>
      </c>
      <c r="O65" s="89">
        <f t="shared" si="2"/>
        <v>-1</v>
      </c>
      <c r="P65" s="65">
        <f>SUM(P62:P64)</f>
        <v>10</v>
      </c>
      <c r="Q65" s="74">
        <f>SUM(Q62:Q64)</f>
        <v>2820</v>
      </c>
      <c r="R65" s="188"/>
    </row>
    <row r="66" spans="1:18" ht="16.5" hidden="1" customHeight="1">
      <c r="A66" s="268"/>
      <c r="B66" s="259"/>
      <c r="C66" s="261" t="s">
        <v>17</v>
      </c>
      <c r="D66" s="215" t="s">
        <v>18</v>
      </c>
      <c r="E66" s="70">
        <v>440</v>
      </c>
      <c r="F66" s="5">
        <v>0</v>
      </c>
      <c r="G66" s="6">
        <f>F66*E66</f>
        <v>0</v>
      </c>
      <c r="H66" s="7">
        <v>0</v>
      </c>
      <c r="I66" s="8">
        <f>H66*E66</f>
        <v>0</v>
      </c>
      <c r="J66" s="197" t="str">
        <f t="shared" si="0"/>
        <v>-</v>
      </c>
      <c r="K66" s="198" t="str">
        <f t="shared" si="0"/>
        <v>-</v>
      </c>
      <c r="L66" s="86"/>
      <c r="M66" s="83"/>
      <c r="N66" s="9">
        <f t="shared" si="2"/>
        <v>-1</v>
      </c>
      <c r="O66" s="90">
        <f t="shared" si="2"/>
        <v>-1</v>
      </c>
      <c r="P66" s="86">
        <v>3</v>
      </c>
      <c r="Q66" s="83">
        <v>1770</v>
      </c>
      <c r="R66" s="188"/>
    </row>
    <row r="67" spans="1:18" ht="16.5" hidden="1" customHeight="1">
      <c r="A67" s="268"/>
      <c r="B67" s="259"/>
      <c r="C67" s="262"/>
      <c r="D67" s="214" t="s">
        <v>19</v>
      </c>
      <c r="E67" s="69">
        <v>520</v>
      </c>
      <c r="F67" s="12">
        <v>0</v>
      </c>
      <c r="G67" s="150">
        <v>0</v>
      </c>
      <c r="H67" s="10">
        <v>0</v>
      </c>
      <c r="I67" s="11">
        <f>H67*E67</f>
        <v>0</v>
      </c>
      <c r="J67" s="195" t="str">
        <f t="shared" si="0"/>
        <v>-</v>
      </c>
      <c r="K67" s="196" t="str">
        <f t="shared" si="0"/>
        <v>-</v>
      </c>
      <c r="L67" s="85"/>
      <c r="M67" s="82"/>
      <c r="N67" s="77">
        <f t="shared" si="2"/>
        <v>-1</v>
      </c>
      <c r="O67" s="88">
        <f t="shared" si="2"/>
        <v>-1</v>
      </c>
      <c r="P67" s="85">
        <v>3</v>
      </c>
      <c r="Q67" s="82">
        <v>2160</v>
      </c>
      <c r="R67" s="188"/>
    </row>
    <row r="68" spans="1:18" ht="16.5" hidden="1" customHeight="1">
      <c r="A68" s="268"/>
      <c r="B68" s="259"/>
      <c r="C68" s="262"/>
      <c r="D68" s="214" t="s">
        <v>38</v>
      </c>
      <c r="E68" s="69">
        <v>600</v>
      </c>
      <c r="F68" s="12">
        <v>0</v>
      </c>
      <c r="G68" s="150">
        <f>F68*E68</f>
        <v>0</v>
      </c>
      <c r="H68" s="10">
        <v>0</v>
      </c>
      <c r="I68" s="11">
        <f>H68*E68</f>
        <v>0</v>
      </c>
      <c r="J68" s="195" t="str">
        <f t="shared" si="0"/>
        <v>-</v>
      </c>
      <c r="K68" s="196" t="str">
        <f t="shared" si="0"/>
        <v>-</v>
      </c>
      <c r="L68" s="85"/>
      <c r="M68" s="82"/>
      <c r="N68" s="77" t="str">
        <f t="shared" si="2"/>
        <v>-</v>
      </c>
      <c r="O68" s="88" t="str">
        <f t="shared" si="2"/>
        <v>-</v>
      </c>
      <c r="P68" s="85">
        <v>0</v>
      </c>
      <c r="Q68" s="82">
        <v>0</v>
      </c>
      <c r="R68" s="188"/>
    </row>
    <row r="69" spans="1:18" ht="16.5" hidden="1" customHeight="1">
      <c r="A69" s="268"/>
      <c r="B69" s="259"/>
      <c r="C69" s="263"/>
      <c r="D69" s="250" t="s">
        <v>16</v>
      </c>
      <c r="E69" s="251"/>
      <c r="F69" s="65">
        <f>SUM(F66:F68)</f>
        <v>0</v>
      </c>
      <c r="G69" s="151">
        <f>SUM(G66:G68)</f>
        <v>0</v>
      </c>
      <c r="H69" s="164">
        <f>SUM(H66:H68)</f>
        <v>0</v>
      </c>
      <c r="I69" s="165">
        <f>SUM(I66:I68)</f>
        <v>0</v>
      </c>
      <c r="J69" s="209" t="str">
        <f t="shared" si="0"/>
        <v>-</v>
      </c>
      <c r="K69" s="210" t="str">
        <f t="shared" si="0"/>
        <v>-</v>
      </c>
      <c r="L69" s="65">
        <f>SUM(L66:L68)</f>
        <v>0</v>
      </c>
      <c r="M69" s="74">
        <f>SUM(M66:M68)</f>
        <v>0</v>
      </c>
      <c r="N69" s="78">
        <f t="shared" si="2"/>
        <v>-1</v>
      </c>
      <c r="O69" s="89">
        <f t="shared" si="2"/>
        <v>-1</v>
      </c>
      <c r="P69" s="65">
        <f>SUM(P66:P68)</f>
        <v>6</v>
      </c>
      <c r="Q69" s="74">
        <f>SUM(Q66:Q68)</f>
        <v>3930</v>
      </c>
      <c r="R69" s="188"/>
    </row>
    <row r="70" spans="1:18" ht="16.5" hidden="1" customHeight="1">
      <c r="A70" s="269"/>
      <c r="B70" s="260"/>
      <c r="C70" s="255" t="s">
        <v>20</v>
      </c>
      <c r="D70" s="256"/>
      <c r="E70" s="257"/>
      <c r="F70" s="102">
        <f>SUM(F65,F69)</f>
        <v>0</v>
      </c>
      <c r="G70" s="159">
        <f>SUM(G65,G69)</f>
        <v>0</v>
      </c>
      <c r="H70" s="175">
        <f>H69+H65</f>
        <v>0</v>
      </c>
      <c r="I70" s="176">
        <f>I69+I65</f>
        <v>0</v>
      </c>
      <c r="J70" s="211" t="str">
        <f t="shared" si="0"/>
        <v>-</v>
      </c>
      <c r="K70" s="212" t="str">
        <f t="shared" si="0"/>
        <v>-</v>
      </c>
      <c r="L70" s="102">
        <f>L69+L65</f>
        <v>0</v>
      </c>
      <c r="M70" s="119">
        <f>M69+M65</f>
        <v>0</v>
      </c>
      <c r="N70" s="122">
        <f t="shared" si="2"/>
        <v>-1</v>
      </c>
      <c r="O70" s="126">
        <f t="shared" si="2"/>
        <v>-1</v>
      </c>
      <c r="P70" s="102">
        <f>P69+P65</f>
        <v>16</v>
      </c>
      <c r="Q70" s="119">
        <f>Q69+Q65</f>
        <v>6750</v>
      </c>
      <c r="R70" s="188"/>
    </row>
    <row r="71" spans="1:18" ht="16.5" hidden="1" customHeight="1">
      <c r="A71" s="239" t="s">
        <v>49</v>
      </c>
      <c r="B71" s="240"/>
      <c r="C71" s="240"/>
      <c r="D71" s="240"/>
      <c r="E71" s="241"/>
      <c r="F71" s="97">
        <f>F70+F61+F52</f>
        <v>0</v>
      </c>
      <c r="G71" s="158">
        <f>G70+G61+G52</f>
        <v>0</v>
      </c>
      <c r="H71" s="173">
        <f>H70+H61+H52</f>
        <v>0</v>
      </c>
      <c r="I71" s="174">
        <f>I70+I61+I52</f>
        <v>0</v>
      </c>
      <c r="J71" s="207" t="str">
        <f t="shared" ref="J71:K83" si="3">IFERROR(H71/L71-1,"-")</f>
        <v>-</v>
      </c>
      <c r="K71" s="208" t="str">
        <f t="shared" si="3"/>
        <v>-</v>
      </c>
      <c r="L71" s="97">
        <f>L70+L61+L52</f>
        <v>0</v>
      </c>
      <c r="M71" s="118">
        <f>M70+M61+M52</f>
        <v>0</v>
      </c>
      <c r="N71" s="121">
        <f t="shared" ref="N71:O83" si="4">IFERROR(H71/P71-1,"-")</f>
        <v>-1</v>
      </c>
      <c r="O71" s="125">
        <f t="shared" si="4"/>
        <v>-1</v>
      </c>
      <c r="P71" s="97">
        <f>P70+P61+P52</f>
        <v>21</v>
      </c>
      <c r="Q71" s="118">
        <f>Q70+Q61+Q52</f>
        <v>9000</v>
      </c>
      <c r="R71" s="188"/>
    </row>
    <row r="72" spans="1:18" ht="16.5" hidden="1" customHeight="1">
      <c r="A72" s="242" t="s">
        <v>51</v>
      </c>
      <c r="B72" s="242" t="s">
        <v>50</v>
      </c>
      <c r="C72" s="245" t="s">
        <v>12</v>
      </c>
      <c r="D72" s="219" t="s">
        <v>52</v>
      </c>
      <c r="E72" s="109"/>
      <c r="F72" s="98"/>
      <c r="G72" s="154"/>
      <c r="H72" s="17"/>
      <c r="I72" s="18"/>
      <c r="J72" s="205" t="str">
        <f t="shared" si="3"/>
        <v>-</v>
      </c>
      <c r="K72" s="206" t="str">
        <f t="shared" si="3"/>
        <v>-</v>
      </c>
      <c r="L72" s="98"/>
      <c r="M72" s="114"/>
      <c r="N72" s="19">
        <f t="shared" si="4"/>
        <v>-1</v>
      </c>
      <c r="O72" s="87">
        <f t="shared" si="4"/>
        <v>-1</v>
      </c>
      <c r="P72" s="98">
        <v>15</v>
      </c>
      <c r="Q72" s="114">
        <f>1690+910</f>
        <v>2600</v>
      </c>
      <c r="R72" s="189"/>
    </row>
    <row r="73" spans="1:18" ht="16.5" hidden="1" customHeight="1">
      <c r="A73" s="243"/>
      <c r="B73" s="243"/>
      <c r="C73" s="246"/>
      <c r="D73" s="220" t="s">
        <v>53</v>
      </c>
      <c r="E73" s="110"/>
      <c r="F73" s="101"/>
      <c r="G73" s="157"/>
      <c r="H73" s="20"/>
      <c r="I73" s="172"/>
      <c r="J73" s="195" t="str">
        <f t="shared" si="3"/>
        <v>-</v>
      </c>
      <c r="K73" s="196" t="str">
        <f t="shared" si="3"/>
        <v>-</v>
      </c>
      <c r="L73" s="101"/>
      <c r="M73" s="117"/>
      <c r="N73" s="77" t="str">
        <f t="shared" si="4"/>
        <v>-</v>
      </c>
      <c r="O73" s="88" t="str">
        <f t="shared" si="4"/>
        <v>-</v>
      </c>
      <c r="P73" s="101">
        <v>0</v>
      </c>
      <c r="Q73" s="117">
        <v>0</v>
      </c>
      <c r="R73" s="189"/>
    </row>
    <row r="74" spans="1:18" ht="16.5" hidden="1" customHeight="1">
      <c r="A74" s="243"/>
      <c r="B74" s="243"/>
      <c r="C74" s="246"/>
      <c r="D74" s="220" t="s">
        <v>37</v>
      </c>
      <c r="E74" s="110"/>
      <c r="F74" s="101"/>
      <c r="G74" s="157"/>
      <c r="H74" s="20"/>
      <c r="I74" s="172"/>
      <c r="J74" s="195" t="str">
        <f t="shared" si="3"/>
        <v>-</v>
      </c>
      <c r="K74" s="196" t="str">
        <f t="shared" si="3"/>
        <v>-</v>
      </c>
      <c r="L74" s="101"/>
      <c r="M74" s="117"/>
      <c r="N74" s="77">
        <f t="shared" si="4"/>
        <v>-1</v>
      </c>
      <c r="O74" s="88">
        <f t="shared" si="4"/>
        <v>-1</v>
      </c>
      <c r="P74" s="101">
        <v>1</v>
      </c>
      <c r="Q74" s="117">
        <v>310</v>
      </c>
      <c r="R74" s="189"/>
    </row>
    <row r="75" spans="1:18" ht="16.5" hidden="1" customHeight="1">
      <c r="A75" s="243"/>
      <c r="B75" s="243"/>
      <c r="C75" s="247"/>
      <c r="D75" s="248" t="s">
        <v>16</v>
      </c>
      <c r="E75" s="249"/>
      <c r="F75" s="99">
        <f>SUM(F72:F74)</f>
        <v>0</v>
      </c>
      <c r="G75" s="155">
        <f>SUM(G72:G74)</f>
        <v>0</v>
      </c>
      <c r="H75" s="170">
        <f>SUM(H72:H74)</f>
        <v>0</v>
      </c>
      <c r="I75" s="171">
        <f>SUM(I72:I74)</f>
        <v>0</v>
      </c>
      <c r="J75" s="209" t="str">
        <f t="shared" si="3"/>
        <v>-</v>
      </c>
      <c r="K75" s="210" t="str">
        <f t="shared" si="3"/>
        <v>-</v>
      </c>
      <c r="L75" s="99">
        <f>SUM(L72:L74)</f>
        <v>0</v>
      </c>
      <c r="M75" s="115">
        <f>SUM(M72:M74)</f>
        <v>0</v>
      </c>
      <c r="N75" s="78">
        <f t="shared" si="4"/>
        <v>-1</v>
      </c>
      <c r="O75" s="89">
        <f t="shared" si="4"/>
        <v>-1</v>
      </c>
      <c r="P75" s="99">
        <f>SUM(P72:P74)</f>
        <v>16</v>
      </c>
      <c r="Q75" s="115">
        <f>SUM(Q72:Q74)</f>
        <v>2910</v>
      </c>
      <c r="R75" s="189"/>
    </row>
    <row r="76" spans="1:18" ht="16.5" hidden="1" customHeight="1">
      <c r="A76" s="243"/>
      <c r="B76" s="243"/>
      <c r="C76" s="245" t="s">
        <v>17</v>
      </c>
      <c r="D76" s="221" t="s">
        <v>18</v>
      </c>
      <c r="E76" s="111"/>
      <c r="F76" s="100"/>
      <c r="G76" s="156"/>
      <c r="H76" s="21"/>
      <c r="I76" s="28"/>
      <c r="J76" s="197" t="str">
        <f t="shared" si="3"/>
        <v>-</v>
      </c>
      <c r="K76" s="198" t="str">
        <f t="shared" si="3"/>
        <v>-</v>
      </c>
      <c r="L76" s="100"/>
      <c r="M76" s="116"/>
      <c r="N76" s="9">
        <f t="shared" si="4"/>
        <v>-1</v>
      </c>
      <c r="O76" s="90">
        <f t="shared" si="4"/>
        <v>-1</v>
      </c>
      <c r="P76" s="100">
        <f>33+4+1+9</f>
        <v>47</v>
      </c>
      <c r="Q76" s="116">
        <f>14520+1760+490+4410</f>
        <v>21180</v>
      </c>
      <c r="R76" s="189"/>
    </row>
    <row r="77" spans="1:18" ht="16.5" hidden="1" customHeight="1">
      <c r="A77" s="243"/>
      <c r="B77" s="243"/>
      <c r="C77" s="246"/>
      <c r="D77" s="220" t="s">
        <v>19</v>
      </c>
      <c r="E77" s="110"/>
      <c r="F77" s="101"/>
      <c r="G77" s="157"/>
      <c r="H77" s="20"/>
      <c r="I77" s="172"/>
      <c r="J77" s="195" t="str">
        <f t="shared" si="3"/>
        <v>-</v>
      </c>
      <c r="K77" s="196" t="str">
        <f t="shared" si="3"/>
        <v>-</v>
      </c>
      <c r="L77" s="101"/>
      <c r="M77" s="117"/>
      <c r="N77" s="77">
        <f t="shared" si="4"/>
        <v>-1</v>
      </c>
      <c r="O77" s="88">
        <f t="shared" si="4"/>
        <v>-1</v>
      </c>
      <c r="P77" s="101">
        <f>34+6</f>
        <v>40</v>
      </c>
      <c r="Q77" s="117">
        <f>17680+3420</f>
        <v>21100</v>
      </c>
      <c r="R77" s="189"/>
    </row>
    <row r="78" spans="1:18" ht="16.5" hidden="1" customHeight="1">
      <c r="A78" s="243"/>
      <c r="B78" s="243"/>
      <c r="C78" s="246"/>
      <c r="D78" s="220" t="s">
        <v>38</v>
      </c>
      <c r="E78" s="110"/>
      <c r="F78" s="101"/>
      <c r="G78" s="157"/>
      <c r="H78" s="20"/>
      <c r="I78" s="172"/>
      <c r="J78" s="195" t="str">
        <f t="shared" si="3"/>
        <v>-</v>
      </c>
      <c r="K78" s="196" t="str">
        <f t="shared" si="3"/>
        <v>-</v>
      </c>
      <c r="L78" s="101"/>
      <c r="M78" s="117"/>
      <c r="N78" s="77" t="str">
        <f t="shared" si="4"/>
        <v>-</v>
      </c>
      <c r="O78" s="88" t="str">
        <f t="shared" si="4"/>
        <v>-</v>
      </c>
      <c r="P78" s="101">
        <v>0</v>
      </c>
      <c r="Q78" s="117">
        <v>0</v>
      </c>
      <c r="R78" s="189"/>
    </row>
    <row r="79" spans="1:18" ht="16.5" hidden="1" customHeight="1">
      <c r="A79" s="243"/>
      <c r="B79" s="243"/>
      <c r="C79" s="247"/>
      <c r="D79" s="248" t="s">
        <v>16</v>
      </c>
      <c r="E79" s="249"/>
      <c r="F79" s="99">
        <f>SUM(F76:F78)</f>
        <v>0</v>
      </c>
      <c r="G79" s="155">
        <f>SUM(G76:G78)</f>
        <v>0</v>
      </c>
      <c r="H79" s="170">
        <f>SUM(H76:H78)</f>
        <v>0</v>
      </c>
      <c r="I79" s="171">
        <f>SUM(I76:I78)</f>
        <v>0</v>
      </c>
      <c r="J79" s="209" t="str">
        <f t="shared" si="3"/>
        <v>-</v>
      </c>
      <c r="K79" s="210" t="str">
        <f t="shared" si="3"/>
        <v>-</v>
      </c>
      <c r="L79" s="99">
        <f>SUM(L76:L78)</f>
        <v>0</v>
      </c>
      <c r="M79" s="115">
        <f>SUM(M76:M78)</f>
        <v>0</v>
      </c>
      <c r="N79" s="78">
        <f t="shared" si="4"/>
        <v>-1</v>
      </c>
      <c r="O79" s="89">
        <f t="shared" si="4"/>
        <v>-1</v>
      </c>
      <c r="P79" s="99">
        <f>SUM(P76:P78)</f>
        <v>87</v>
      </c>
      <c r="Q79" s="115">
        <f>SUM(Q76:Q78)</f>
        <v>42280</v>
      </c>
      <c r="R79" s="189"/>
    </row>
    <row r="80" spans="1:18" ht="16.5" hidden="1" customHeight="1">
      <c r="A80" s="243"/>
      <c r="B80" s="243"/>
      <c r="C80" s="245" t="s">
        <v>54</v>
      </c>
      <c r="D80" s="221" t="s">
        <v>19</v>
      </c>
      <c r="E80" s="111"/>
      <c r="F80" s="100"/>
      <c r="G80" s="156"/>
      <c r="H80" s="21"/>
      <c r="I80" s="28"/>
      <c r="J80" s="197" t="str">
        <f t="shared" si="3"/>
        <v>-</v>
      </c>
      <c r="K80" s="198" t="str">
        <f t="shared" si="3"/>
        <v>-</v>
      </c>
      <c r="L80" s="100"/>
      <c r="M80" s="116"/>
      <c r="N80" s="9" t="str">
        <f t="shared" si="4"/>
        <v>-</v>
      </c>
      <c r="O80" s="90" t="str">
        <f t="shared" si="4"/>
        <v>-</v>
      </c>
      <c r="P80" s="100">
        <v>0</v>
      </c>
      <c r="Q80" s="116">
        <v>0</v>
      </c>
      <c r="R80" s="189"/>
    </row>
    <row r="81" spans="1:18" ht="16.5" hidden="1" customHeight="1">
      <c r="A81" s="244"/>
      <c r="B81" s="244"/>
      <c r="C81" s="247"/>
      <c r="D81" s="248" t="s">
        <v>16</v>
      </c>
      <c r="E81" s="249"/>
      <c r="F81" s="99">
        <f>SUM(F80)</f>
        <v>0</v>
      </c>
      <c r="G81" s="155">
        <f>SUM(G80)</f>
        <v>0</v>
      </c>
      <c r="H81" s="170">
        <f>SUM(H80)</f>
        <v>0</v>
      </c>
      <c r="I81" s="171">
        <f>SUM(I80)</f>
        <v>0</v>
      </c>
      <c r="J81" s="209" t="str">
        <f t="shared" si="3"/>
        <v>-</v>
      </c>
      <c r="K81" s="210" t="str">
        <f t="shared" si="3"/>
        <v>-</v>
      </c>
      <c r="L81" s="99">
        <f>SUM(L80)</f>
        <v>0</v>
      </c>
      <c r="M81" s="115">
        <f>SUM(M80)</f>
        <v>0</v>
      </c>
      <c r="N81" s="78" t="str">
        <f t="shared" si="4"/>
        <v>-</v>
      </c>
      <c r="O81" s="89" t="str">
        <f t="shared" si="4"/>
        <v>-</v>
      </c>
      <c r="P81" s="99">
        <f>SUM(P80)</f>
        <v>0</v>
      </c>
      <c r="Q81" s="115">
        <f>SUM(Q80)</f>
        <v>0</v>
      </c>
      <c r="R81" s="189"/>
    </row>
    <row r="82" spans="1:18" ht="16.5" hidden="1" customHeight="1">
      <c r="A82" s="371" t="s">
        <v>58</v>
      </c>
      <c r="B82" s="372"/>
      <c r="C82" s="372"/>
      <c r="D82" s="372"/>
      <c r="E82" s="373"/>
      <c r="F82" s="103">
        <f>F81+F79+F75</f>
        <v>0</v>
      </c>
      <c r="G82" s="160">
        <f>G81+G79+G75</f>
        <v>0</v>
      </c>
      <c r="H82" s="177">
        <f>H81+H79+H75</f>
        <v>0</v>
      </c>
      <c r="I82" s="178">
        <f>I81+I79+I75</f>
        <v>0</v>
      </c>
      <c r="J82" s="207" t="str">
        <f t="shared" si="3"/>
        <v>-</v>
      </c>
      <c r="K82" s="208" t="str">
        <f t="shared" si="3"/>
        <v>-</v>
      </c>
      <c r="L82" s="103">
        <f>L81+L79+L75</f>
        <v>0</v>
      </c>
      <c r="M82" s="120">
        <f>M81+M79+M75</f>
        <v>0</v>
      </c>
      <c r="N82" s="121">
        <f t="shared" si="4"/>
        <v>-1</v>
      </c>
      <c r="O82" s="125">
        <f t="shared" si="4"/>
        <v>-1</v>
      </c>
      <c r="P82" s="103">
        <f>P81+P79+P75</f>
        <v>103</v>
      </c>
      <c r="Q82" s="120">
        <f>Q81+Q79+Q75</f>
        <v>45190</v>
      </c>
      <c r="R82" s="188"/>
    </row>
    <row r="83" spans="1:18" ht="17.25" thickBot="1">
      <c r="A83" s="236" t="s">
        <v>55</v>
      </c>
      <c r="B83" s="237"/>
      <c r="C83" s="237"/>
      <c r="D83" s="237"/>
      <c r="E83" s="238"/>
      <c r="F83" s="199">
        <f>F82+F71+F43+F34</f>
        <v>9</v>
      </c>
      <c r="G83" s="225">
        <f>G82+G71+G43+G34</f>
        <v>4810</v>
      </c>
      <c r="H83" s="229">
        <f>H82+H71+H43+H34</f>
        <v>76</v>
      </c>
      <c r="I83" s="230">
        <f>I82+I71+I43+I34</f>
        <v>44040</v>
      </c>
      <c r="J83" s="201">
        <f t="shared" si="3"/>
        <v>-0.1648351648351648</v>
      </c>
      <c r="K83" s="202">
        <f t="shared" si="3"/>
        <v>-1.1891406775858204E-2</v>
      </c>
      <c r="L83" s="199">
        <f>L82+L71+L43+L34</f>
        <v>91</v>
      </c>
      <c r="M83" s="200">
        <f>M82+M71+M43+M34</f>
        <v>44570</v>
      </c>
      <c r="N83" s="203">
        <f t="shared" si="4"/>
        <v>-0.78947368421052633</v>
      </c>
      <c r="O83" s="204">
        <f t="shared" si="4"/>
        <v>-0.73433069916148885</v>
      </c>
      <c r="P83" s="199">
        <f>P82+P71+P43+P34</f>
        <v>361</v>
      </c>
      <c r="Q83" s="200">
        <f>Q82+Q71+Q43+Q34</f>
        <v>165770</v>
      </c>
      <c r="R83" s="190"/>
    </row>
    <row r="84" spans="1:18">
      <c r="A84" s="25" t="s">
        <v>42</v>
      </c>
    </row>
    <row r="85" spans="1:18">
      <c r="A85" s="25" t="s">
        <v>40</v>
      </c>
    </row>
    <row r="86" spans="1:18">
      <c r="A86" s="25" t="s">
        <v>41</v>
      </c>
    </row>
  </sheetData>
  <mergeCells count="66">
    <mergeCell ref="N5:O5"/>
    <mergeCell ref="P5:Q5"/>
    <mergeCell ref="R5:R6"/>
    <mergeCell ref="A7:A33"/>
    <mergeCell ref="B7:B15"/>
    <mergeCell ref="C7:C10"/>
    <mergeCell ref="D10:E10"/>
    <mergeCell ref="C11:C14"/>
    <mergeCell ref="D14:E14"/>
    <mergeCell ref="C15:E15"/>
    <mergeCell ref="A5:D6"/>
    <mergeCell ref="E5:E6"/>
    <mergeCell ref="F5:G5"/>
    <mergeCell ref="H5:I5"/>
    <mergeCell ref="J5:K5"/>
    <mergeCell ref="L5:M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82:E82"/>
    <mergeCell ref="A83:E83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86C3-5A61-4505-AA33-FBF54913B5E0}">
  <dimension ref="A1:R86"/>
  <sheetViews>
    <sheetView showGridLines="0" zoomScale="70" zoomScaleNormal="70" workbookViewId="0">
      <selection activeCell="V6" sqref="V6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7" width="7.625" customWidth="1"/>
    <col min="18" max="18" width="13.75" customWidth="1"/>
  </cols>
  <sheetData>
    <row r="1" spans="1:18" ht="20.25">
      <c r="A1" s="26" t="s">
        <v>80</v>
      </c>
    </row>
    <row r="2" spans="1:18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spans="1:18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</row>
    <row r="4" spans="1:18" ht="17.25" thickBot="1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7" t="s">
        <v>1</v>
      </c>
    </row>
    <row r="5" spans="1:18" ht="23.25" customHeight="1">
      <c r="A5" s="289" t="s">
        <v>2</v>
      </c>
      <c r="B5" s="290"/>
      <c r="C5" s="290"/>
      <c r="D5" s="291"/>
      <c r="E5" s="295" t="s">
        <v>3</v>
      </c>
      <c r="F5" s="297" t="s">
        <v>77</v>
      </c>
      <c r="G5" s="298"/>
      <c r="H5" s="299" t="s">
        <v>78</v>
      </c>
      <c r="I5" s="300"/>
      <c r="J5" s="301" t="s">
        <v>69</v>
      </c>
      <c r="K5" s="285"/>
      <c r="L5" s="284" t="s">
        <v>79</v>
      </c>
      <c r="M5" s="285"/>
      <c r="N5" s="284" t="s">
        <v>4</v>
      </c>
      <c r="O5" s="285"/>
      <c r="P5" s="284" t="s">
        <v>72</v>
      </c>
      <c r="Q5" s="285"/>
      <c r="R5" s="286" t="s">
        <v>5</v>
      </c>
    </row>
    <row r="6" spans="1:18">
      <c r="A6" s="292"/>
      <c r="B6" s="293"/>
      <c r="C6" s="293"/>
      <c r="D6" s="294"/>
      <c r="E6" s="296"/>
      <c r="F6" s="222" t="s">
        <v>6</v>
      </c>
      <c r="G6" s="194" t="s">
        <v>7</v>
      </c>
      <c r="H6" s="227" t="s">
        <v>8</v>
      </c>
      <c r="I6" s="228" t="s">
        <v>9</v>
      </c>
      <c r="J6" s="226" t="s">
        <v>8</v>
      </c>
      <c r="K6" s="223" t="s">
        <v>9</v>
      </c>
      <c r="L6" s="224" t="s">
        <v>8</v>
      </c>
      <c r="M6" s="223" t="s">
        <v>9</v>
      </c>
      <c r="N6" s="224" t="s">
        <v>8</v>
      </c>
      <c r="O6" s="223" t="s">
        <v>9</v>
      </c>
      <c r="P6" s="224" t="s">
        <v>8</v>
      </c>
      <c r="Q6" s="223" t="s">
        <v>9</v>
      </c>
      <c r="R6" s="287"/>
    </row>
    <row r="7" spans="1:18">
      <c r="A7" s="288" t="s">
        <v>10</v>
      </c>
      <c r="B7" s="258" t="s">
        <v>11</v>
      </c>
      <c r="C7" s="261" t="s">
        <v>12</v>
      </c>
      <c r="D7" s="213" t="s">
        <v>13</v>
      </c>
      <c r="E7" s="68">
        <v>275</v>
      </c>
      <c r="F7" s="13">
        <v>0</v>
      </c>
      <c r="G7" s="14">
        <f>F7*E7</f>
        <v>0</v>
      </c>
      <c r="H7" s="15">
        <f>F7</f>
        <v>0</v>
      </c>
      <c r="I7" s="16">
        <f>H7*E7</f>
        <v>0</v>
      </c>
      <c r="J7" s="205" t="str">
        <f t="shared" ref="J7:K70" si="0">IFERROR(H7/L7-1,"-")</f>
        <v>-</v>
      </c>
      <c r="K7" s="206" t="str">
        <f t="shared" si="0"/>
        <v>-</v>
      </c>
      <c r="L7" s="84">
        <v>0</v>
      </c>
      <c r="M7" s="81"/>
      <c r="N7" s="19">
        <f t="shared" ref="N7:O38" si="1">IFERROR(H7/P7-1,"-")</f>
        <v>-1</v>
      </c>
      <c r="O7" s="87">
        <f t="shared" si="1"/>
        <v>-1</v>
      </c>
      <c r="P7" s="84">
        <f>3+5</f>
        <v>8</v>
      </c>
      <c r="Q7" s="81">
        <f>690+1210</f>
        <v>1900</v>
      </c>
      <c r="R7" s="184" t="s">
        <v>14</v>
      </c>
    </row>
    <row r="8" spans="1:18">
      <c r="A8" s="268"/>
      <c r="B8" s="259"/>
      <c r="C8" s="262"/>
      <c r="D8" s="214" t="s">
        <v>15</v>
      </c>
      <c r="E8" s="69">
        <v>180</v>
      </c>
      <c r="F8" s="12">
        <v>0</v>
      </c>
      <c r="G8" s="150">
        <v>0</v>
      </c>
      <c r="H8" s="10">
        <v>0</v>
      </c>
      <c r="I8" s="11">
        <f>H8*E8</f>
        <v>0</v>
      </c>
      <c r="J8" s="195">
        <f t="shared" si="0"/>
        <v>-1</v>
      </c>
      <c r="K8" s="196">
        <f t="shared" si="0"/>
        <v>-1</v>
      </c>
      <c r="L8" s="85">
        <v>1</v>
      </c>
      <c r="M8" s="82">
        <v>170</v>
      </c>
      <c r="N8" s="77" t="str">
        <f t="shared" si="1"/>
        <v>-</v>
      </c>
      <c r="O8" s="88" t="str">
        <f t="shared" si="1"/>
        <v>-</v>
      </c>
      <c r="P8" s="85">
        <v>0</v>
      </c>
      <c r="Q8" s="82">
        <v>0</v>
      </c>
      <c r="R8" s="185"/>
    </row>
    <row r="9" spans="1:18">
      <c r="A9" s="268"/>
      <c r="B9" s="259"/>
      <c r="C9" s="262"/>
      <c r="D9" s="214" t="s">
        <v>37</v>
      </c>
      <c r="E9" s="69">
        <v>420</v>
      </c>
      <c r="F9" s="12">
        <v>0</v>
      </c>
      <c r="G9" s="150">
        <f>F9*E9</f>
        <v>0</v>
      </c>
      <c r="H9" s="10">
        <v>0</v>
      </c>
      <c r="I9" s="11">
        <f>H9*E9</f>
        <v>0</v>
      </c>
      <c r="J9" s="195" t="str">
        <f t="shared" si="0"/>
        <v>-</v>
      </c>
      <c r="K9" s="196" t="str">
        <f t="shared" si="0"/>
        <v>-</v>
      </c>
      <c r="L9" s="85">
        <v>0</v>
      </c>
      <c r="M9" s="82">
        <v>0</v>
      </c>
      <c r="N9" s="77">
        <f t="shared" si="1"/>
        <v>-1</v>
      </c>
      <c r="O9" s="88">
        <f t="shared" si="1"/>
        <v>-1</v>
      </c>
      <c r="P9" s="85">
        <v>1</v>
      </c>
      <c r="Q9" s="82">
        <v>430</v>
      </c>
      <c r="R9" s="185"/>
    </row>
    <row r="10" spans="1:18">
      <c r="A10" s="268"/>
      <c r="B10" s="259"/>
      <c r="C10" s="263"/>
      <c r="D10" s="250" t="s">
        <v>16</v>
      </c>
      <c r="E10" s="251"/>
      <c r="F10" s="65">
        <f>SUM(F7:F9)</f>
        <v>0</v>
      </c>
      <c r="G10" s="151">
        <f>SUM(G7:G9)</f>
        <v>0</v>
      </c>
      <c r="H10" s="164">
        <f>SUM(H7:H9)</f>
        <v>0</v>
      </c>
      <c r="I10" s="165">
        <f>SUM(I7:I9)</f>
        <v>0</v>
      </c>
      <c r="J10" s="209">
        <f t="shared" si="0"/>
        <v>-1</v>
      </c>
      <c r="K10" s="210">
        <f t="shared" si="0"/>
        <v>-1</v>
      </c>
      <c r="L10" s="65">
        <f>SUM(L7:L9)</f>
        <v>1</v>
      </c>
      <c r="M10" s="74">
        <f>SUM(M7:M9)</f>
        <v>170</v>
      </c>
      <c r="N10" s="78">
        <f t="shared" si="1"/>
        <v>-1</v>
      </c>
      <c r="O10" s="89">
        <f t="shared" si="1"/>
        <v>-1</v>
      </c>
      <c r="P10" s="65">
        <f>SUM(P7:P9)</f>
        <v>9</v>
      </c>
      <c r="Q10" s="74">
        <f>SUM(Q7:Q9)</f>
        <v>2330</v>
      </c>
      <c r="R10" s="185"/>
    </row>
    <row r="11" spans="1:18">
      <c r="A11" s="268"/>
      <c r="B11" s="259"/>
      <c r="C11" s="261" t="s">
        <v>17</v>
      </c>
      <c r="D11" s="215" t="s">
        <v>18</v>
      </c>
      <c r="E11" s="70">
        <v>550</v>
      </c>
      <c r="F11" s="5">
        <v>0</v>
      </c>
      <c r="G11" s="6">
        <f>F11*E11</f>
        <v>0</v>
      </c>
      <c r="H11" s="7">
        <v>7</v>
      </c>
      <c r="I11" s="8">
        <f>H11*E11</f>
        <v>3850</v>
      </c>
      <c r="J11" s="197">
        <f>IFERROR(H11/L11-1,"-")</f>
        <v>-0.22222222222222221</v>
      </c>
      <c r="K11" s="198">
        <f t="shared" si="0"/>
        <v>-0.19287211740041932</v>
      </c>
      <c r="L11" s="86">
        <v>9</v>
      </c>
      <c r="M11" s="83">
        <v>4770</v>
      </c>
      <c r="N11" s="9">
        <f t="shared" si="1"/>
        <v>-0.65</v>
      </c>
      <c r="O11" s="90">
        <f t="shared" si="1"/>
        <v>-0.6367924528301887</v>
      </c>
      <c r="P11" s="86">
        <v>20</v>
      </c>
      <c r="Q11" s="83">
        <f>1060+9540</f>
        <v>10600</v>
      </c>
      <c r="R11" s="185"/>
    </row>
    <row r="12" spans="1:18">
      <c r="A12" s="268"/>
      <c r="B12" s="259"/>
      <c r="C12" s="262"/>
      <c r="D12" s="214" t="s">
        <v>19</v>
      </c>
      <c r="E12" s="69">
        <v>675</v>
      </c>
      <c r="F12" s="12">
        <v>0</v>
      </c>
      <c r="G12" s="150">
        <f>F12*E12</f>
        <v>0</v>
      </c>
      <c r="H12" s="10">
        <v>4</v>
      </c>
      <c r="I12" s="11">
        <f>H12*E12</f>
        <v>2700</v>
      </c>
      <c r="J12" s="195">
        <f t="shared" si="0"/>
        <v>-0.55555555555555558</v>
      </c>
      <c r="K12" s="196">
        <f t="shared" si="0"/>
        <v>-0.53125</v>
      </c>
      <c r="L12" s="85">
        <v>9</v>
      </c>
      <c r="M12" s="82">
        <v>5760</v>
      </c>
      <c r="N12" s="77">
        <f t="shared" si="1"/>
        <v>-0.85714285714285721</v>
      </c>
      <c r="O12" s="88">
        <f t="shared" si="1"/>
        <v>-0.84375</v>
      </c>
      <c r="P12" s="85">
        <v>28</v>
      </c>
      <c r="Q12" s="82">
        <f>9600+7680</f>
        <v>17280</v>
      </c>
      <c r="R12" s="185"/>
    </row>
    <row r="13" spans="1:18">
      <c r="A13" s="268"/>
      <c r="B13" s="259"/>
      <c r="C13" s="262"/>
      <c r="D13" s="214" t="s">
        <v>38</v>
      </c>
      <c r="E13" s="69">
        <v>810</v>
      </c>
      <c r="F13" s="12">
        <v>0</v>
      </c>
      <c r="G13" s="150">
        <f>F13*E13</f>
        <v>0</v>
      </c>
      <c r="H13" s="10">
        <v>3</v>
      </c>
      <c r="I13" s="11">
        <f>H13*E13</f>
        <v>2430</v>
      </c>
      <c r="J13" s="195" t="str">
        <f t="shared" si="0"/>
        <v>-</v>
      </c>
      <c r="K13" s="196" t="str">
        <f t="shared" si="0"/>
        <v>-</v>
      </c>
      <c r="L13" s="85">
        <v>0</v>
      </c>
      <c r="M13" s="82">
        <v>0</v>
      </c>
      <c r="N13" s="77" t="str">
        <f t="shared" si="1"/>
        <v>-</v>
      </c>
      <c r="O13" s="88" t="str">
        <f t="shared" si="1"/>
        <v>-</v>
      </c>
      <c r="P13" s="85">
        <v>0</v>
      </c>
      <c r="Q13" s="82">
        <v>0</v>
      </c>
      <c r="R13" s="185"/>
    </row>
    <row r="14" spans="1:18">
      <c r="A14" s="268"/>
      <c r="B14" s="259"/>
      <c r="C14" s="263"/>
      <c r="D14" s="250" t="s">
        <v>16</v>
      </c>
      <c r="E14" s="251"/>
      <c r="F14" s="65">
        <f>SUM(F11:F13)</f>
        <v>0</v>
      </c>
      <c r="G14" s="151">
        <f>SUM(G11:G13)</f>
        <v>0</v>
      </c>
      <c r="H14" s="164">
        <f>SUM(H11:H13)</f>
        <v>14</v>
      </c>
      <c r="I14" s="165">
        <f>SUM(I11:I13)</f>
        <v>8980</v>
      </c>
      <c r="J14" s="209">
        <f t="shared" si="0"/>
        <v>-0.22222222222222221</v>
      </c>
      <c r="K14" s="210">
        <f t="shared" si="0"/>
        <v>-0.14719848053181384</v>
      </c>
      <c r="L14" s="65">
        <f>SUM(L11:L13)</f>
        <v>18</v>
      </c>
      <c r="M14" s="74">
        <f>SUM(M11:M13)</f>
        <v>10530</v>
      </c>
      <c r="N14" s="78">
        <f t="shared" si="1"/>
        <v>-0.70833333333333326</v>
      </c>
      <c r="O14" s="89">
        <f t="shared" si="1"/>
        <v>-0.67790530846484942</v>
      </c>
      <c r="P14" s="65">
        <f>SUM(P11:P13)</f>
        <v>48</v>
      </c>
      <c r="Q14" s="74">
        <f>SUM(Q11:Q13)</f>
        <v>27880</v>
      </c>
      <c r="R14" s="185"/>
    </row>
    <row r="15" spans="1:18">
      <c r="A15" s="268"/>
      <c r="B15" s="260"/>
      <c r="C15" s="255" t="s">
        <v>20</v>
      </c>
      <c r="D15" s="256"/>
      <c r="E15" s="257"/>
      <c r="F15" s="102">
        <f>SUM(F10,F14)</f>
        <v>0</v>
      </c>
      <c r="G15" s="159">
        <f>SUM(G10,G14)</f>
        <v>0</v>
      </c>
      <c r="H15" s="175">
        <f>H14+H10</f>
        <v>14</v>
      </c>
      <c r="I15" s="176">
        <f>I14+I10</f>
        <v>8980</v>
      </c>
      <c r="J15" s="211">
        <f t="shared" si="0"/>
        <v>-0.26315789473684215</v>
      </c>
      <c r="K15" s="212">
        <f t="shared" si="0"/>
        <v>-0.16074766355140191</v>
      </c>
      <c r="L15" s="102">
        <f>L14+L10</f>
        <v>19</v>
      </c>
      <c r="M15" s="119">
        <f>M14+M10</f>
        <v>10700</v>
      </c>
      <c r="N15" s="122">
        <f t="shared" si="1"/>
        <v>-0.75438596491228072</v>
      </c>
      <c r="O15" s="126">
        <f t="shared" si="1"/>
        <v>-0.70274743462429656</v>
      </c>
      <c r="P15" s="102">
        <f>SUM(P10,P14)</f>
        <v>57</v>
      </c>
      <c r="Q15" s="119">
        <f>SUM(Q10,Q14)</f>
        <v>30210</v>
      </c>
      <c r="R15" s="191"/>
    </row>
    <row r="16" spans="1:18">
      <c r="A16" s="268"/>
      <c r="B16" s="258" t="s">
        <v>21</v>
      </c>
      <c r="C16" s="261" t="s">
        <v>12</v>
      </c>
      <c r="D16" s="215" t="s">
        <v>13</v>
      </c>
      <c r="E16" s="70">
        <v>190</v>
      </c>
      <c r="F16" s="5">
        <v>0</v>
      </c>
      <c r="G16" s="6">
        <f>F16*E16</f>
        <v>0</v>
      </c>
      <c r="H16" s="7">
        <v>0</v>
      </c>
      <c r="I16" s="8">
        <f>H16*E16</f>
        <v>0</v>
      </c>
      <c r="J16" s="197" t="str">
        <f t="shared" si="0"/>
        <v>-</v>
      </c>
      <c r="K16" s="198" t="str">
        <f t="shared" si="0"/>
        <v>-</v>
      </c>
      <c r="L16" s="86">
        <v>0</v>
      </c>
      <c r="M16" s="83">
        <v>0</v>
      </c>
      <c r="N16" s="9">
        <f t="shared" si="1"/>
        <v>-1</v>
      </c>
      <c r="O16" s="90">
        <f t="shared" si="1"/>
        <v>-1</v>
      </c>
      <c r="P16" s="86">
        <v>5</v>
      </c>
      <c r="Q16" s="83">
        <v>670</v>
      </c>
      <c r="R16" s="185" t="s">
        <v>22</v>
      </c>
    </row>
    <row r="17" spans="1:18">
      <c r="A17" s="268"/>
      <c r="B17" s="259"/>
      <c r="C17" s="262"/>
      <c r="D17" s="214" t="s">
        <v>15</v>
      </c>
      <c r="E17" s="69">
        <v>120</v>
      </c>
      <c r="F17" s="12">
        <v>0</v>
      </c>
      <c r="G17" s="150">
        <f>F17*E17</f>
        <v>0</v>
      </c>
      <c r="H17" s="10">
        <v>0</v>
      </c>
      <c r="I17" s="11">
        <f>H17*E17</f>
        <v>0</v>
      </c>
      <c r="J17" s="195" t="str">
        <f t="shared" si="0"/>
        <v>-</v>
      </c>
      <c r="K17" s="196" t="str">
        <f t="shared" si="0"/>
        <v>-</v>
      </c>
      <c r="L17" s="85">
        <v>0</v>
      </c>
      <c r="M17" s="82">
        <v>0</v>
      </c>
      <c r="N17" s="77">
        <f t="shared" si="1"/>
        <v>-1</v>
      </c>
      <c r="O17" s="88">
        <f t="shared" si="1"/>
        <v>-1</v>
      </c>
      <c r="P17" s="85">
        <v>3</v>
      </c>
      <c r="Q17" s="82">
        <v>430</v>
      </c>
      <c r="R17" s="185"/>
    </row>
    <row r="18" spans="1:18">
      <c r="A18" s="268"/>
      <c r="B18" s="259"/>
      <c r="C18" s="262"/>
      <c r="D18" s="214" t="s">
        <v>37</v>
      </c>
      <c r="E18" s="69">
        <v>300</v>
      </c>
      <c r="F18" s="12">
        <v>0</v>
      </c>
      <c r="G18" s="150">
        <f>F18*E18</f>
        <v>0</v>
      </c>
      <c r="H18" s="10">
        <v>0</v>
      </c>
      <c r="I18" s="11">
        <f>H18*E18</f>
        <v>0</v>
      </c>
      <c r="J18" s="195" t="str">
        <f t="shared" si="0"/>
        <v>-</v>
      </c>
      <c r="K18" s="196" t="str">
        <f t="shared" si="0"/>
        <v>-</v>
      </c>
      <c r="L18" s="85">
        <v>0</v>
      </c>
      <c r="M18" s="82">
        <v>0</v>
      </c>
      <c r="N18" s="77" t="str">
        <f t="shared" si="1"/>
        <v>-</v>
      </c>
      <c r="O18" s="88" t="str">
        <f t="shared" si="1"/>
        <v>-</v>
      </c>
      <c r="P18" s="85">
        <v>0</v>
      </c>
      <c r="Q18" s="82">
        <v>0</v>
      </c>
      <c r="R18" s="185" t="s">
        <v>23</v>
      </c>
    </row>
    <row r="19" spans="1:18">
      <c r="A19" s="268"/>
      <c r="B19" s="259"/>
      <c r="C19" s="263"/>
      <c r="D19" s="250" t="s">
        <v>16</v>
      </c>
      <c r="E19" s="251"/>
      <c r="F19" s="65">
        <f>SUM(F16:F18)</f>
        <v>0</v>
      </c>
      <c r="G19" s="151">
        <f>SUM(G16:G18)</f>
        <v>0</v>
      </c>
      <c r="H19" s="164">
        <f>SUM(H16:H18)</f>
        <v>0</v>
      </c>
      <c r="I19" s="165">
        <f>SUM(I16:I18)</f>
        <v>0</v>
      </c>
      <c r="J19" s="209" t="str">
        <f t="shared" si="0"/>
        <v>-</v>
      </c>
      <c r="K19" s="210" t="str">
        <f t="shared" si="0"/>
        <v>-</v>
      </c>
      <c r="L19" s="65">
        <f>SUM(L16:L18)</f>
        <v>0</v>
      </c>
      <c r="M19" s="74">
        <f>SUM(M16:M18)</f>
        <v>0</v>
      </c>
      <c r="N19" s="78">
        <f t="shared" si="1"/>
        <v>-1</v>
      </c>
      <c r="O19" s="89">
        <f t="shared" si="1"/>
        <v>-1</v>
      </c>
      <c r="P19" s="65">
        <f>SUM(P16:P18)</f>
        <v>8</v>
      </c>
      <c r="Q19" s="74">
        <f>SUM(Q16:Q18)</f>
        <v>1100</v>
      </c>
      <c r="R19" s="185" t="s">
        <v>24</v>
      </c>
    </row>
    <row r="20" spans="1:18">
      <c r="A20" s="268"/>
      <c r="B20" s="259"/>
      <c r="C20" s="261" t="s">
        <v>17</v>
      </c>
      <c r="D20" s="215" t="s">
        <v>18</v>
      </c>
      <c r="E20" s="70">
        <v>440</v>
      </c>
      <c r="F20" s="5">
        <v>0</v>
      </c>
      <c r="G20" s="6">
        <f>F20*E20</f>
        <v>0</v>
      </c>
      <c r="H20" s="7">
        <v>0</v>
      </c>
      <c r="I20" s="8">
        <f>H20*E20</f>
        <v>0</v>
      </c>
      <c r="J20" s="197">
        <f t="shared" si="0"/>
        <v>-1</v>
      </c>
      <c r="K20" s="198">
        <f t="shared" si="0"/>
        <v>-1</v>
      </c>
      <c r="L20" s="86">
        <v>3</v>
      </c>
      <c r="M20" s="83">
        <v>1320</v>
      </c>
      <c r="N20" s="9">
        <f t="shared" si="1"/>
        <v>-1</v>
      </c>
      <c r="O20" s="90">
        <f t="shared" si="1"/>
        <v>-1</v>
      </c>
      <c r="P20" s="86">
        <f>16+1</f>
        <v>17</v>
      </c>
      <c r="Q20" s="83">
        <f>1320+5720+440</f>
        <v>7480</v>
      </c>
      <c r="R20" s="185" t="s">
        <v>25</v>
      </c>
    </row>
    <row r="21" spans="1:18">
      <c r="A21" s="268"/>
      <c r="B21" s="259"/>
      <c r="C21" s="262"/>
      <c r="D21" s="214" t="s">
        <v>19</v>
      </c>
      <c r="E21" s="69">
        <v>520</v>
      </c>
      <c r="F21" s="12">
        <v>0</v>
      </c>
      <c r="G21" s="150">
        <f>F21*E21</f>
        <v>0</v>
      </c>
      <c r="H21" s="10">
        <v>2</v>
      </c>
      <c r="I21" s="11">
        <f>H21*E21</f>
        <v>1040</v>
      </c>
      <c r="J21" s="195">
        <f t="shared" si="0"/>
        <v>-0.6</v>
      </c>
      <c r="K21" s="196">
        <f t="shared" si="0"/>
        <v>-0.6</v>
      </c>
      <c r="L21" s="85">
        <v>5</v>
      </c>
      <c r="M21" s="82">
        <v>2600</v>
      </c>
      <c r="N21" s="77">
        <f t="shared" si="1"/>
        <v>-0.84615384615384615</v>
      </c>
      <c r="O21" s="88">
        <f t="shared" si="1"/>
        <v>-0.84615384615384615</v>
      </c>
      <c r="P21" s="85">
        <f>9+4</f>
        <v>13</v>
      </c>
      <c r="Q21" s="82">
        <f>1560+3120+2080</f>
        <v>6760</v>
      </c>
      <c r="R21" s="185"/>
    </row>
    <row r="22" spans="1:18">
      <c r="A22" s="268"/>
      <c r="B22" s="259"/>
      <c r="C22" s="262"/>
      <c r="D22" s="214" t="s">
        <v>38</v>
      </c>
      <c r="E22" s="69">
        <v>600</v>
      </c>
      <c r="F22" s="12">
        <v>0</v>
      </c>
      <c r="G22" s="150">
        <f>F22*E22</f>
        <v>0</v>
      </c>
      <c r="H22" s="10">
        <v>0</v>
      </c>
      <c r="I22" s="11">
        <f>H22*E22</f>
        <v>0</v>
      </c>
      <c r="J22" s="195" t="str">
        <f t="shared" si="0"/>
        <v>-</v>
      </c>
      <c r="K22" s="196" t="str">
        <f t="shared" si="0"/>
        <v>-</v>
      </c>
      <c r="L22" s="85">
        <v>0</v>
      </c>
      <c r="M22" s="82">
        <v>0</v>
      </c>
      <c r="N22" s="77" t="str">
        <f t="shared" si="1"/>
        <v>-</v>
      </c>
      <c r="O22" s="88" t="str">
        <f t="shared" si="1"/>
        <v>-</v>
      </c>
      <c r="P22" s="85">
        <v>0</v>
      </c>
      <c r="Q22" s="82">
        <v>0</v>
      </c>
      <c r="R22" s="185"/>
    </row>
    <row r="23" spans="1:18">
      <c r="A23" s="268"/>
      <c r="B23" s="259"/>
      <c r="C23" s="263"/>
      <c r="D23" s="250" t="s">
        <v>16</v>
      </c>
      <c r="E23" s="251"/>
      <c r="F23" s="65">
        <f>SUM(F20:F22)</f>
        <v>0</v>
      </c>
      <c r="G23" s="151">
        <f>SUM(G20:G22)</f>
        <v>0</v>
      </c>
      <c r="H23" s="164">
        <f>SUM(H20:H22)</f>
        <v>2</v>
      </c>
      <c r="I23" s="165">
        <f>SUM(I20:I22)</f>
        <v>1040</v>
      </c>
      <c r="J23" s="209">
        <f t="shared" si="0"/>
        <v>-0.75</v>
      </c>
      <c r="K23" s="210">
        <f t="shared" si="0"/>
        <v>-0.73469387755102034</v>
      </c>
      <c r="L23" s="65">
        <f>SUM(L20:L22)</f>
        <v>8</v>
      </c>
      <c r="M23" s="74">
        <f>SUM(M20:M22)</f>
        <v>3920</v>
      </c>
      <c r="N23" s="78">
        <f t="shared" si="1"/>
        <v>-0.93333333333333335</v>
      </c>
      <c r="O23" s="89">
        <f t="shared" si="1"/>
        <v>-0.9269662921348315</v>
      </c>
      <c r="P23" s="65">
        <f>SUM(P20:P22)</f>
        <v>30</v>
      </c>
      <c r="Q23" s="74">
        <f>SUM(Q20:Q22)</f>
        <v>14240</v>
      </c>
      <c r="R23" s="185"/>
    </row>
    <row r="24" spans="1:18">
      <c r="A24" s="268"/>
      <c r="B24" s="260"/>
      <c r="C24" s="255" t="s">
        <v>20</v>
      </c>
      <c r="D24" s="256"/>
      <c r="E24" s="257"/>
      <c r="F24" s="102">
        <f>SUM(F19,F23)</f>
        <v>0</v>
      </c>
      <c r="G24" s="159">
        <f>SUM(G19,G23)</f>
        <v>0</v>
      </c>
      <c r="H24" s="175">
        <f>H23+H19</f>
        <v>2</v>
      </c>
      <c r="I24" s="176">
        <f>I23+I19</f>
        <v>1040</v>
      </c>
      <c r="J24" s="211">
        <f t="shared" si="0"/>
        <v>-0.75</v>
      </c>
      <c r="K24" s="212">
        <f t="shared" si="0"/>
        <v>-0.73469387755102034</v>
      </c>
      <c r="L24" s="102">
        <f>L23+L19</f>
        <v>8</v>
      </c>
      <c r="M24" s="119">
        <f>M23+M19</f>
        <v>3920</v>
      </c>
      <c r="N24" s="122">
        <f t="shared" si="1"/>
        <v>-0.94736842105263164</v>
      </c>
      <c r="O24" s="126">
        <f t="shared" si="1"/>
        <v>-0.93220338983050843</v>
      </c>
      <c r="P24" s="102">
        <f>SUM(P19,P23)</f>
        <v>38</v>
      </c>
      <c r="Q24" s="119">
        <f>SUM(Q19,Q23)</f>
        <v>15340</v>
      </c>
      <c r="R24" s="191"/>
    </row>
    <row r="25" spans="1:18">
      <c r="A25" s="268"/>
      <c r="B25" s="258" t="s">
        <v>26</v>
      </c>
      <c r="C25" s="261" t="s">
        <v>12</v>
      </c>
      <c r="D25" s="215" t="s">
        <v>13</v>
      </c>
      <c r="E25" s="70">
        <v>190</v>
      </c>
      <c r="F25" s="5"/>
      <c r="G25" s="6">
        <f>F25*E25</f>
        <v>0</v>
      </c>
      <c r="H25" s="7">
        <v>1</v>
      </c>
      <c r="I25" s="8">
        <f>H25*E25</f>
        <v>190</v>
      </c>
      <c r="J25" s="197">
        <f t="shared" si="0"/>
        <v>-0.88888888888888884</v>
      </c>
      <c r="K25" s="198">
        <f t="shared" si="0"/>
        <v>-0.88888888888888884</v>
      </c>
      <c r="L25" s="86">
        <v>9</v>
      </c>
      <c r="M25" s="83">
        <v>1710</v>
      </c>
      <c r="N25" s="9">
        <f t="shared" si="1"/>
        <v>-0.94736842105263164</v>
      </c>
      <c r="O25" s="90">
        <f t="shared" si="1"/>
        <v>-0.93470790378006874</v>
      </c>
      <c r="P25" s="86">
        <v>19</v>
      </c>
      <c r="Q25" s="83">
        <v>2910</v>
      </c>
      <c r="R25" s="185" t="s">
        <v>22</v>
      </c>
    </row>
    <row r="26" spans="1:18">
      <c r="A26" s="268"/>
      <c r="B26" s="259"/>
      <c r="C26" s="262"/>
      <c r="D26" s="214" t="s">
        <v>15</v>
      </c>
      <c r="E26" s="69">
        <v>120</v>
      </c>
      <c r="F26" s="12">
        <v>2</v>
      </c>
      <c r="G26" s="150">
        <f>F26*E26</f>
        <v>240</v>
      </c>
      <c r="H26" s="10">
        <v>3</v>
      </c>
      <c r="I26" s="11">
        <f>H26*E26</f>
        <v>360</v>
      </c>
      <c r="J26" s="195">
        <f t="shared" si="0"/>
        <v>-0.25</v>
      </c>
      <c r="K26" s="196">
        <f t="shared" si="0"/>
        <v>-0.25</v>
      </c>
      <c r="L26" s="85">
        <v>4</v>
      </c>
      <c r="M26" s="82">
        <v>480</v>
      </c>
      <c r="N26" s="77" t="str">
        <f t="shared" si="1"/>
        <v>-</v>
      </c>
      <c r="O26" s="88" t="str">
        <f t="shared" si="1"/>
        <v>-</v>
      </c>
      <c r="P26" s="85">
        <v>0</v>
      </c>
      <c r="Q26" s="82">
        <v>0</v>
      </c>
      <c r="R26" s="185"/>
    </row>
    <row r="27" spans="1:18">
      <c r="A27" s="268"/>
      <c r="B27" s="259"/>
      <c r="C27" s="262"/>
      <c r="D27" s="214" t="s">
        <v>37</v>
      </c>
      <c r="E27" s="69">
        <v>300</v>
      </c>
      <c r="F27" s="12">
        <v>1</v>
      </c>
      <c r="G27" s="150">
        <f>F27*E27</f>
        <v>300</v>
      </c>
      <c r="H27" s="10">
        <v>5</v>
      </c>
      <c r="I27" s="11">
        <f>H27*E27</f>
        <v>1500</v>
      </c>
      <c r="J27" s="195" t="str">
        <f t="shared" si="0"/>
        <v>-</v>
      </c>
      <c r="K27" s="196" t="str">
        <f t="shared" si="0"/>
        <v>-</v>
      </c>
      <c r="L27" s="85">
        <v>0</v>
      </c>
      <c r="M27" s="82">
        <v>0</v>
      </c>
      <c r="N27" s="77">
        <f t="shared" si="1"/>
        <v>-0.2857142857142857</v>
      </c>
      <c r="O27" s="88">
        <f t="shared" si="1"/>
        <v>-0.30875576036866359</v>
      </c>
      <c r="P27" s="85">
        <v>7</v>
      </c>
      <c r="Q27" s="82">
        <v>2170</v>
      </c>
      <c r="R27" s="185" t="s">
        <v>27</v>
      </c>
    </row>
    <row r="28" spans="1:18">
      <c r="A28" s="268"/>
      <c r="B28" s="259"/>
      <c r="C28" s="263"/>
      <c r="D28" s="250" t="s">
        <v>16</v>
      </c>
      <c r="E28" s="251"/>
      <c r="F28" s="65">
        <f>SUM(F25:F27)</f>
        <v>3</v>
      </c>
      <c r="G28" s="151">
        <f>SUM(G25:G27)</f>
        <v>540</v>
      </c>
      <c r="H28" s="164">
        <f>SUM(H25:H27)</f>
        <v>9</v>
      </c>
      <c r="I28" s="165">
        <f>SUM(I25:I27)</f>
        <v>2050</v>
      </c>
      <c r="J28" s="209">
        <f t="shared" si="0"/>
        <v>-0.30769230769230771</v>
      </c>
      <c r="K28" s="210">
        <f t="shared" si="0"/>
        <v>-6.3926940639269403E-2</v>
      </c>
      <c r="L28" s="65">
        <f>SUM(L25:L27)</f>
        <v>13</v>
      </c>
      <c r="M28" s="74">
        <f>SUM(M25:M27)</f>
        <v>2190</v>
      </c>
      <c r="N28" s="78">
        <f t="shared" si="1"/>
        <v>-0.65384615384615385</v>
      </c>
      <c r="O28" s="89">
        <f t="shared" si="1"/>
        <v>-0.59645669291338588</v>
      </c>
      <c r="P28" s="65">
        <f>SUM(P25:P27)</f>
        <v>26</v>
      </c>
      <c r="Q28" s="74">
        <f>SUM(Q25:Q27)</f>
        <v>5080</v>
      </c>
      <c r="R28" s="185"/>
    </row>
    <row r="29" spans="1:18">
      <c r="A29" s="268"/>
      <c r="B29" s="259"/>
      <c r="C29" s="261" t="s">
        <v>17</v>
      </c>
      <c r="D29" s="215" t="s">
        <v>18</v>
      </c>
      <c r="E29" s="70">
        <v>440</v>
      </c>
      <c r="F29" s="5">
        <v>4</v>
      </c>
      <c r="G29" s="6">
        <f>F29*E29</f>
        <v>1760</v>
      </c>
      <c r="H29" s="7">
        <v>29</v>
      </c>
      <c r="I29" s="8">
        <f>H29*E29</f>
        <v>12760</v>
      </c>
      <c r="J29" s="197">
        <f t="shared" si="0"/>
        <v>0</v>
      </c>
      <c r="K29" s="198">
        <f t="shared" si="0"/>
        <v>0</v>
      </c>
      <c r="L29" s="86">
        <v>29</v>
      </c>
      <c r="M29" s="83">
        <v>12760</v>
      </c>
      <c r="N29" s="9">
        <f t="shared" si="1"/>
        <v>-0.46296296296296291</v>
      </c>
      <c r="O29" s="90">
        <f t="shared" si="1"/>
        <v>-0.46296296296296291</v>
      </c>
      <c r="P29" s="86">
        <v>54</v>
      </c>
      <c r="Q29" s="83">
        <v>23760</v>
      </c>
      <c r="R29" s="185"/>
    </row>
    <row r="30" spans="1:18">
      <c r="A30" s="268"/>
      <c r="B30" s="259"/>
      <c r="C30" s="262"/>
      <c r="D30" s="214" t="s">
        <v>19</v>
      </c>
      <c r="E30" s="69">
        <v>520</v>
      </c>
      <c r="F30" s="12">
        <v>1</v>
      </c>
      <c r="G30" s="150">
        <f>F30*E30</f>
        <v>520</v>
      </c>
      <c r="H30" s="10">
        <v>13</v>
      </c>
      <c r="I30" s="11">
        <f>H30*E30</f>
        <v>6760</v>
      </c>
      <c r="J30" s="195">
        <f t="shared" si="0"/>
        <v>-0.55172413793103448</v>
      </c>
      <c r="K30" s="196">
        <f t="shared" si="0"/>
        <v>-0.55172413793103448</v>
      </c>
      <c r="L30" s="85">
        <v>29</v>
      </c>
      <c r="M30" s="82">
        <v>15080</v>
      </c>
      <c r="N30" s="77">
        <f t="shared" si="1"/>
        <v>-0.68292682926829262</v>
      </c>
      <c r="O30" s="88">
        <f t="shared" si="1"/>
        <v>-0.69047619047619047</v>
      </c>
      <c r="P30" s="85">
        <v>41</v>
      </c>
      <c r="Q30" s="82">
        <v>21840</v>
      </c>
      <c r="R30" s="185"/>
    </row>
    <row r="31" spans="1:18">
      <c r="A31" s="268"/>
      <c r="B31" s="259"/>
      <c r="C31" s="262"/>
      <c r="D31" s="214" t="s">
        <v>38</v>
      </c>
      <c r="E31" s="69">
        <v>600</v>
      </c>
      <c r="F31" s="12">
        <v>1</v>
      </c>
      <c r="G31" s="150">
        <f>F31*E31</f>
        <v>600</v>
      </c>
      <c r="H31" s="10">
        <v>5</v>
      </c>
      <c r="I31" s="11">
        <f>H31*E31</f>
        <v>3000</v>
      </c>
      <c r="J31" s="195" t="str">
        <f t="shared" si="0"/>
        <v>-</v>
      </c>
      <c r="K31" s="196" t="str">
        <f t="shared" si="0"/>
        <v>-</v>
      </c>
      <c r="L31" s="85">
        <v>0</v>
      </c>
      <c r="M31" s="82">
        <v>0</v>
      </c>
      <c r="N31" s="77" t="str">
        <f t="shared" si="1"/>
        <v>-</v>
      </c>
      <c r="O31" s="88" t="str">
        <f t="shared" si="1"/>
        <v>-</v>
      </c>
      <c r="P31" s="85">
        <v>0</v>
      </c>
      <c r="Q31" s="82">
        <v>0</v>
      </c>
      <c r="R31" s="185"/>
    </row>
    <row r="32" spans="1:18">
      <c r="A32" s="268"/>
      <c r="B32" s="259"/>
      <c r="C32" s="263"/>
      <c r="D32" s="250" t="s">
        <v>16</v>
      </c>
      <c r="E32" s="251"/>
      <c r="F32" s="65">
        <f>SUM(F29:F31)</f>
        <v>6</v>
      </c>
      <c r="G32" s="151">
        <f>SUM(G29:G31)</f>
        <v>2880</v>
      </c>
      <c r="H32" s="164">
        <f>SUM(H29:H31)</f>
        <v>47</v>
      </c>
      <c r="I32" s="165">
        <f>SUM(I29:I31)</f>
        <v>22520</v>
      </c>
      <c r="J32" s="209">
        <f t="shared" si="0"/>
        <v>-0.18965517241379315</v>
      </c>
      <c r="K32" s="210">
        <f t="shared" si="0"/>
        <v>-0.19109195402298851</v>
      </c>
      <c r="L32" s="65">
        <f>SUM(L29:L31)</f>
        <v>58</v>
      </c>
      <c r="M32" s="74">
        <f>SUM(M29:M31)</f>
        <v>27840</v>
      </c>
      <c r="N32" s="78">
        <f t="shared" si="1"/>
        <v>-0.50526315789473686</v>
      </c>
      <c r="O32" s="89">
        <f t="shared" si="1"/>
        <v>-0.506140350877193</v>
      </c>
      <c r="P32" s="65">
        <f>SUM(P29:P31)</f>
        <v>95</v>
      </c>
      <c r="Q32" s="74">
        <f>SUM(Q29:Q31)</f>
        <v>45600</v>
      </c>
      <c r="R32" s="185"/>
    </row>
    <row r="33" spans="1:18">
      <c r="A33" s="269"/>
      <c r="B33" s="260"/>
      <c r="C33" s="255" t="s">
        <v>20</v>
      </c>
      <c r="D33" s="256"/>
      <c r="E33" s="257"/>
      <c r="F33" s="102">
        <f>SUM(F28,F32)</f>
        <v>9</v>
      </c>
      <c r="G33" s="159">
        <f>SUM(G28,G32)</f>
        <v>3420</v>
      </c>
      <c r="H33" s="175">
        <f>H32+H28</f>
        <v>56</v>
      </c>
      <c r="I33" s="176">
        <f>I32+I28</f>
        <v>24570</v>
      </c>
      <c r="J33" s="211">
        <f t="shared" si="0"/>
        <v>-0.21126760563380287</v>
      </c>
      <c r="K33" s="212">
        <f t="shared" si="0"/>
        <v>-0.18181818181818177</v>
      </c>
      <c r="L33" s="102">
        <f>L32+L28</f>
        <v>71</v>
      </c>
      <c r="M33" s="119">
        <f>M32+M28</f>
        <v>30030</v>
      </c>
      <c r="N33" s="122">
        <f t="shared" si="1"/>
        <v>-0.53719008264462809</v>
      </c>
      <c r="O33" s="126">
        <f t="shared" si="1"/>
        <v>-0.51519337016574585</v>
      </c>
      <c r="P33" s="102">
        <f>SUM(P28,P32)</f>
        <v>121</v>
      </c>
      <c r="Q33" s="119">
        <f>SUM(Q28,Q32)</f>
        <v>50680</v>
      </c>
      <c r="R33" s="191"/>
    </row>
    <row r="34" spans="1:18">
      <c r="A34" s="239" t="s">
        <v>28</v>
      </c>
      <c r="B34" s="240"/>
      <c r="C34" s="240"/>
      <c r="D34" s="240"/>
      <c r="E34" s="241"/>
      <c r="F34" s="97">
        <f>F15+F24+F33</f>
        <v>9</v>
      </c>
      <c r="G34" s="158">
        <f>G15+G24+G33</f>
        <v>3420</v>
      </c>
      <c r="H34" s="173">
        <f>H15+H24+H33</f>
        <v>72</v>
      </c>
      <c r="I34" s="174">
        <f>I15+I24+I33</f>
        <v>34590</v>
      </c>
      <c r="J34" s="207">
        <f t="shared" si="0"/>
        <v>-0.26530612244897955</v>
      </c>
      <c r="K34" s="208">
        <f t="shared" si="0"/>
        <v>-0.22530795072788357</v>
      </c>
      <c r="L34" s="97">
        <f>L15+L24+L33</f>
        <v>98</v>
      </c>
      <c r="M34" s="118">
        <f>M15+M24+M33</f>
        <v>44650</v>
      </c>
      <c r="N34" s="121">
        <f t="shared" si="1"/>
        <v>-0.66666666666666674</v>
      </c>
      <c r="O34" s="125">
        <f t="shared" si="1"/>
        <v>-0.64054868544113064</v>
      </c>
      <c r="P34" s="97">
        <f>P33+P24+P15</f>
        <v>216</v>
      </c>
      <c r="Q34" s="118">
        <f>Q33+Q24+Q15</f>
        <v>96230</v>
      </c>
      <c r="R34" s="185"/>
    </row>
    <row r="35" spans="1:18">
      <c r="A35" s="273" t="s">
        <v>46</v>
      </c>
      <c r="B35" s="276" t="s">
        <v>29</v>
      </c>
      <c r="C35" s="278" t="s">
        <v>30</v>
      </c>
      <c r="D35" s="193" t="s">
        <v>19</v>
      </c>
      <c r="E35" s="104">
        <v>990</v>
      </c>
      <c r="F35" s="98">
        <v>2</v>
      </c>
      <c r="G35" s="154">
        <f>F35*E35</f>
        <v>1980</v>
      </c>
      <c r="H35" s="17">
        <v>15</v>
      </c>
      <c r="I35" s="18">
        <f>H35*E35</f>
        <v>14850</v>
      </c>
      <c r="J35" s="205">
        <f t="shared" si="0"/>
        <v>2.75</v>
      </c>
      <c r="K35" s="206">
        <f t="shared" si="0"/>
        <v>2.09375</v>
      </c>
      <c r="L35" s="98">
        <v>4</v>
      </c>
      <c r="M35" s="114">
        <v>4800</v>
      </c>
      <c r="N35" s="19">
        <f t="shared" si="1"/>
        <v>0.5</v>
      </c>
      <c r="O35" s="87">
        <f t="shared" si="1"/>
        <v>3.125E-2</v>
      </c>
      <c r="P35" s="98">
        <v>10</v>
      </c>
      <c r="Q35" s="114">
        <v>14400</v>
      </c>
      <c r="R35" s="186"/>
    </row>
    <row r="36" spans="1:18">
      <c r="A36" s="274"/>
      <c r="B36" s="277"/>
      <c r="C36" s="279"/>
      <c r="D36" s="280" t="s">
        <v>16</v>
      </c>
      <c r="E36" s="281"/>
      <c r="F36" s="99">
        <f>F35</f>
        <v>2</v>
      </c>
      <c r="G36" s="155">
        <f>G35</f>
        <v>1980</v>
      </c>
      <c r="H36" s="170">
        <f>H35</f>
        <v>15</v>
      </c>
      <c r="I36" s="171">
        <f>I35</f>
        <v>14850</v>
      </c>
      <c r="J36" s="209">
        <f t="shared" si="0"/>
        <v>2.75</v>
      </c>
      <c r="K36" s="210">
        <f t="shared" si="0"/>
        <v>2.09375</v>
      </c>
      <c r="L36" s="99">
        <f>L35</f>
        <v>4</v>
      </c>
      <c r="M36" s="115">
        <f>M35</f>
        <v>4800</v>
      </c>
      <c r="N36" s="78">
        <f t="shared" si="1"/>
        <v>0.5</v>
      </c>
      <c r="O36" s="89">
        <f t="shared" si="1"/>
        <v>3.125E-2</v>
      </c>
      <c r="P36" s="99">
        <f>SUM(P35)</f>
        <v>10</v>
      </c>
      <c r="Q36" s="115">
        <f>SUM(Q35)</f>
        <v>14400</v>
      </c>
      <c r="R36" s="186"/>
    </row>
    <row r="37" spans="1:18" ht="16.5" hidden="1" customHeight="1">
      <c r="A37" s="274"/>
      <c r="B37" s="278" t="s">
        <v>31</v>
      </c>
      <c r="C37" s="273" t="s">
        <v>32</v>
      </c>
      <c r="D37" s="217" t="s">
        <v>33</v>
      </c>
      <c r="E37" s="106">
        <v>50</v>
      </c>
      <c r="F37" s="100"/>
      <c r="G37" s="156"/>
      <c r="H37" s="21"/>
      <c r="I37" s="28"/>
      <c r="J37" s="197" t="str">
        <f t="shared" si="0"/>
        <v>-</v>
      </c>
      <c r="K37" s="198" t="str">
        <f t="shared" si="0"/>
        <v>-</v>
      </c>
      <c r="L37" s="100"/>
      <c r="M37" s="116"/>
      <c r="N37" s="9">
        <f t="shared" si="1"/>
        <v>-1</v>
      </c>
      <c r="O37" s="90">
        <f t="shared" si="1"/>
        <v>-1</v>
      </c>
      <c r="P37" s="100">
        <v>6</v>
      </c>
      <c r="Q37" s="116">
        <v>300</v>
      </c>
      <c r="R37" s="186"/>
    </row>
    <row r="38" spans="1:18" ht="16.5" hidden="1" customHeight="1">
      <c r="A38" s="274"/>
      <c r="B38" s="282"/>
      <c r="C38" s="274"/>
      <c r="D38" s="218" t="s">
        <v>34</v>
      </c>
      <c r="E38" s="107">
        <v>100</v>
      </c>
      <c r="F38" s="101"/>
      <c r="G38" s="157"/>
      <c r="H38" s="20"/>
      <c r="I38" s="172"/>
      <c r="J38" s="195" t="str">
        <f t="shared" si="0"/>
        <v>-</v>
      </c>
      <c r="K38" s="196" t="str">
        <f t="shared" si="0"/>
        <v>-</v>
      </c>
      <c r="L38" s="101"/>
      <c r="M38" s="117"/>
      <c r="N38" s="77">
        <f t="shared" si="1"/>
        <v>-1</v>
      </c>
      <c r="O38" s="88">
        <f t="shared" si="1"/>
        <v>-1</v>
      </c>
      <c r="P38" s="101">
        <v>3</v>
      </c>
      <c r="Q38" s="117">
        <v>300</v>
      </c>
      <c r="R38" s="186"/>
    </row>
    <row r="39" spans="1:18" ht="16.5" hidden="1" customHeight="1">
      <c r="A39" s="274"/>
      <c r="B39" s="282"/>
      <c r="C39" s="274"/>
      <c r="D39" s="218" t="s">
        <v>18</v>
      </c>
      <c r="E39" s="107">
        <v>150</v>
      </c>
      <c r="F39" s="101"/>
      <c r="G39" s="157"/>
      <c r="H39" s="20"/>
      <c r="I39" s="172"/>
      <c r="J39" s="195" t="str">
        <f t="shared" si="0"/>
        <v>-</v>
      </c>
      <c r="K39" s="196" t="str">
        <f t="shared" si="0"/>
        <v>-</v>
      </c>
      <c r="L39" s="101"/>
      <c r="M39" s="117"/>
      <c r="N39" s="77">
        <f t="shared" ref="N39:O70" si="2">IFERROR(H39/P39-1,"-")</f>
        <v>-1</v>
      </c>
      <c r="O39" s="88">
        <f t="shared" si="2"/>
        <v>-1</v>
      </c>
      <c r="P39" s="101">
        <v>1</v>
      </c>
      <c r="Q39" s="117">
        <v>150</v>
      </c>
      <c r="R39" s="186"/>
    </row>
    <row r="40" spans="1:18" ht="16.5" hidden="1" customHeight="1">
      <c r="A40" s="274"/>
      <c r="B40" s="282"/>
      <c r="C40" s="274"/>
      <c r="D40" s="218" t="s">
        <v>19</v>
      </c>
      <c r="E40" s="107">
        <v>200</v>
      </c>
      <c r="F40" s="101"/>
      <c r="G40" s="157"/>
      <c r="H40" s="20"/>
      <c r="I40" s="172"/>
      <c r="J40" s="195" t="str">
        <f t="shared" si="0"/>
        <v>-</v>
      </c>
      <c r="K40" s="196" t="str">
        <f t="shared" si="0"/>
        <v>-</v>
      </c>
      <c r="L40" s="101"/>
      <c r="M40" s="117"/>
      <c r="N40" s="77">
        <f t="shared" si="2"/>
        <v>-1</v>
      </c>
      <c r="O40" s="88">
        <f t="shared" si="2"/>
        <v>-1</v>
      </c>
      <c r="P40" s="101">
        <v>1</v>
      </c>
      <c r="Q40" s="117">
        <v>200</v>
      </c>
      <c r="R40" s="186"/>
    </row>
    <row r="41" spans="1:18" ht="16.5" hidden="1" customHeight="1">
      <c r="A41" s="274"/>
      <c r="B41" s="282"/>
      <c r="C41" s="274"/>
      <c r="D41" s="218" t="s">
        <v>38</v>
      </c>
      <c r="E41" s="107">
        <v>250</v>
      </c>
      <c r="F41" s="101"/>
      <c r="G41" s="157"/>
      <c r="H41" s="20"/>
      <c r="I41" s="172"/>
      <c r="J41" s="195" t="str">
        <f t="shared" si="0"/>
        <v>-</v>
      </c>
      <c r="K41" s="196" t="str">
        <f t="shared" si="0"/>
        <v>-</v>
      </c>
      <c r="L41" s="101"/>
      <c r="M41" s="117"/>
      <c r="N41" s="77" t="str">
        <f t="shared" si="2"/>
        <v>-</v>
      </c>
      <c r="O41" s="88" t="str">
        <f t="shared" si="2"/>
        <v>-</v>
      </c>
      <c r="P41" s="101">
        <v>0</v>
      </c>
      <c r="Q41" s="117">
        <v>0</v>
      </c>
      <c r="R41" s="186"/>
    </row>
    <row r="42" spans="1:18" ht="16.5" hidden="1" customHeight="1">
      <c r="A42" s="275"/>
      <c r="B42" s="283"/>
      <c r="C42" s="275"/>
      <c r="D42" s="216" t="s">
        <v>16</v>
      </c>
      <c r="E42" s="105">
        <v>0</v>
      </c>
      <c r="F42" s="99"/>
      <c r="G42" s="155"/>
      <c r="H42" s="170"/>
      <c r="I42" s="171"/>
      <c r="J42" s="209" t="str">
        <f t="shared" si="0"/>
        <v>-</v>
      </c>
      <c r="K42" s="210" t="str">
        <f t="shared" si="0"/>
        <v>-</v>
      </c>
      <c r="L42" s="99"/>
      <c r="M42" s="115"/>
      <c r="N42" s="78">
        <f t="shared" si="2"/>
        <v>-1</v>
      </c>
      <c r="O42" s="89">
        <f t="shared" si="2"/>
        <v>-1</v>
      </c>
      <c r="P42" s="99">
        <f>SUM(P37:P41)</f>
        <v>11</v>
      </c>
      <c r="Q42" s="115">
        <f>SUM(Q37:Q41)</f>
        <v>950</v>
      </c>
      <c r="R42" s="192"/>
    </row>
    <row r="43" spans="1:18">
      <c r="A43" s="376" t="s">
        <v>47</v>
      </c>
      <c r="B43" s="377"/>
      <c r="C43" s="377"/>
      <c r="D43" s="377"/>
      <c r="E43" s="390"/>
      <c r="F43" s="97">
        <f>F42+F36</f>
        <v>2</v>
      </c>
      <c r="G43" s="158">
        <f>G42+G36</f>
        <v>1980</v>
      </c>
      <c r="H43" s="173">
        <f>H42+H36</f>
        <v>15</v>
      </c>
      <c r="I43" s="174">
        <f>I42+I36</f>
        <v>14850</v>
      </c>
      <c r="J43" s="207">
        <f t="shared" si="0"/>
        <v>2.75</v>
      </c>
      <c r="K43" s="208">
        <f t="shared" si="0"/>
        <v>2.09375</v>
      </c>
      <c r="L43" s="97">
        <f>L42+L36</f>
        <v>4</v>
      </c>
      <c r="M43" s="118">
        <f>M42+M36</f>
        <v>4800</v>
      </c>
      <c r="N43" s="121">
        <f t="shared" si="2"/>
        <v>-0.2857142857142857</v>
      </c>
      <c r="O43" s="125">
        <f t="shared" si="2"/>
        <v>-3.2573289902280145E-2</v>
      </c>
      <c r="P43" s="97">
        <f>P42+P36</f>
        <v>21</v>
      </c>
      <c r="Q43" s="118">
        <f>Q42+Q36</f>
        <v>15350</v>
      </c>
      <c r="R43" s="186"/>
    </row>
    <row r="44" spans="1:18" ht="16.5" hidden="1" customHeight="1">
      <c r="A44" s="267" t="s">
        <v>48</v>
      </c>
      <c r="B44" s="258" t="s">
        <v>11</v>
      </c>
      <c r="C44" s="261" t="s">
        <v>12</v>
      </c>
      <c r="D44" s="213" t="s">
        <v>13</v>
      </c>
      <c r="E44" s="68">
        <v>275</v>
      </c>
      <c r="F44" s="13">
        <v>0</v>
      </c>
      <c r="G44" s="14">
        <f>F44*E44</f>
        <v>0</v>
      </c>
      <c r="H44" s="15">
        <f>F44</f>
        <v>0</v>
      </c>
      <c r="I44" s="16">
        <f>H44*E44</f>
        <v>0</v>
      </c>
      <c r="J44" s="205" t="str">
        <f t="shared" si="0"/>
        <v>-</v>
      </c>
      <c r="K44" s="206" t="str">
        <f t="shared" si="0"/>
        <v>-</v>
      </c>
      <c r="L44" s="84"/>
      <c r="M44" s="81"/>
      <c r="N44" s="19">
        <f t="shared" si="2"/>
        <v>-1</v>
      </c>
      <c r="O44" s="87">
        <f t="shared" si="2"/>
        <v>-1</v>
      </c>
      <c r="P44" s="84">
        <v>3</v>
      </c>
      <c r="Q44" s="81">
        <v>650</v>
      </c>
      <c r="R44" s="187"/>
    </row>
    <row r="45" spans="1:18" ht="16.5" hidden="1" customHeight="1">
      <c r="A45" s="268"/>
      <c r="B45" s="259"/>
      <c r="C45" s="262"/>
      <c r="D45" s="214" t="s">
        <v>15</v>
      </c>
      <c r="E45" s="69">
        <v>180</v>
      </c>
      <c r="F45" s="12"/>
      <c r="G45" s="150"/>
      <c r="H45" s="10">
        <v>0</v>
      </c>
      <c r="I45" s="11">
        <f>H45*E45</f>
        <v>0</v>
      </c>
      <c r="J45" s="195" t="str">
        <f t="shared" si="0"/>
        <v>-</v>
      </c>
      <c r="K45" s="196" t="str">
        <f t="shared" si="0"/>
        <v>-</v>
      </c>
      <c r="L45" s="85"/>
      <c r="M45" s="82"/>
      <c r="N45" s="77" t="str">
        <f t="shared" si="2"/>
        <v>-</v>
      </c>
      <c r="O45" s="88" t="str">
        <f t="shared" si="2"/>
        <v>-</v>
      </c>
      <c r="P45" s="85">
        <v>0</v>
      </c>
      <c r="Q45" s="82">
        <v>0</v>
      </c>
      <c r="R45" s="187"/>
    </row>
    <row r="46" spans="1:18" ht="16.5" hidden="1" customHeight="1">
      <c r="A46" s="268"/>
      <c r="B46" s="259"/>
      <c r="C46" s="262"/>
      <c r="D46" s="214" t="s">
        <v>37</v>
      </c>
      <c r="E46" s="69">
        <v>420</v>
      </c>
      <c r="F46" s="12">
        <v>0</v>
      </c>
      <c r="G46" s="150">
        <f>F46*E46</f>
        <v>0</v>
      </c>
      <c r="H46" s="10">
        <v>0</v>
      </c>
      <c r="I46" s="11">
        <f>H46*E46</f>
        <v>0</v>
      </c>
      <c r="J46" s="195" t="str">
        <f t="shared" si="0"/>
        <v>-</v>
      </c>
      <c r="K46" s="196" t="str">
        <f t="shared" si="0"/>
        <v>-</v>
      </c>
      <c r="L46" s="85"/>
      <c r="M46" s="82"/>
      <c r="N46" s="77" t="str">
        <f t="shared" si="2"/>
        <v>-</v>
      </c>
      <c r="O46" s="88" t="str">
        <f t="shared" si="2"/>
        <v>-</v>
      </c>
      <c r="P46" s="85">
        <v>0</v>
      </c>
      <c r="Q46" s="82">
        <v>0</v>
      </c>
      <c r="R46" s="186"/>
    </row>
    <row r="47" spans="1:18" ht="16.5" hidden="1" customHeight="1">
      <c r="A47" s="268"/>
      <c r="B47" s="259"/>
      <c r="C47" s="263"/>
      <c r="D47" s="250" t="s">
        <v>16</v>
      </c>
      <c r="E47" s="251"/>
      <c r="F47" s="65">
        <f>SUM(F44:F46)</f>
        <v>0</v>
      </c>
      <c r="G47" s="151">
        <f>SUM(G44:G46)</f>
        <v>0</v>
      </c>
      <c r="H47" s="164">
        <f>SUM(H44:H46)</f>
        <v>0</v>
      </c>
      <c r="I47" s="165">
        <f>SUM(I44:I46)</f>
        <v>0</v>
      </c>
      <c r="J47" s="209" t="str">
        <f t="shared" si="0"/>
        <v>-</v>
      </c>
      <c r="K47" s="210" t="str">
        <f t="shared" si="0"/>
        <v>-</v>
      </c>
      <c r="L47" s="65">
        <f>SUM(L44:L46)</f>
        <v>0</v>
      </c>
      <c r="M47" s="74">
        <f>SUM(M44:M46)</f>
        <v>0</v>
      </c>
      <c r="N47" s="78">
        <f t="shared" si="2"/>
        <v>-1</v>
      </c>
      <c r="O47" s="89">
        <f t="shared" si="2"/>
        <v>-1</v>
      </c>
      <c r="P47" s="65">
        <f>SUM(P44:P46)</f>
        <v>3</v>
      </c>
      <c r="Q47" s="74">
        <f>SUM(Q44:Q46)</f>
        <v>650</v>
      </c>
      <c r="R47" s="186"/>
    </row>
    <row r="48" spans="1:18" ht="16.5" hidden="1" customHeight="1">
      <c r="A48" s="268"/>
      <c r="B48" s="259"/>
      <c r="C48" s="261" t="s">
        <v>17</v>
      </c>
      <c r="D48" s="215" t="s">
        <v>18</v>
      </c>
      <c r="E48" s="70">
        <v>550</v>
      </c>
      <c r="F48" s="5"/>
      <c r="G48" s="6">
        <f>F48*E48</f>
        <v>0</v>
      </c>
      <c r="H48" s="7"/>
      <c r="I48" s="8">
        <f>H48*E48</f>
        <v>0</v>
      </c>
      <c r="J48" s="197" t="str">
        <f t="shared" si="0"/>
        <v>-</v>
      </c>
      <c r="K48" s="198" t="str">
        <f t="shared" si="0"/>
        <v>-</v>
      </c>
      <c r="L48" s="86"/>
      <c r="M48" s="83"/>
      <c r="N48" s="9">
        <f t="shared" si="2"/>
        <v>-1</v>
      </c>
      <c r="O48" s="90">
        <f t="shared" si="2"/>
        <v>-1</v>
      </c>
      <c r="P48" s="86">
        <v>1</v>
      </c>
      <c r="Q48" s="83">
        <v>720</v>
      </c>
      <c r="R48" s="186"/>
    </row>
    <row r="49" spans="1:18" ht="16.5" hidden="1" customHeight="1">
      <c r="A49" s="268"/>
      <c r="B49" s="259"/>
      <c r="C49" s="262"/>
      <c r="D49" s="214" t="s">
        <v>19</v>
      </c>
      <c r="E49" s="69">
        <v>675</v>
      </c>
      <c r="F49" s="12"/>
      <c r="G49" s="150"/>
      <c r="H49" s="10">
        <v>0</v>
      </c>
      <c r="I49" s="11">
        <f>H49*E49</f>
        <v>0</v>
      </c>
      <c r="J49" s="195" t="str">
        <f t="shared" si="0"/>
        <v>-</v>
      </c>
      <c r="K49" s="196" t="str">
        <f t="shared" si="0"/>
        <v>-</v>
      </c>
      <c r="L49" s="85"/>
      <c r="M49" s="82"/>
      <c r="N49" s="77">
        <f t="shared" si="2"/>
        <v>-1</v>
      </c>
      <c r="O49" s="88">
        <f t="shared" si="2"/>
        <v>-1</v>
      </c>
      <c r="P49" s="85">
        <v>1</v>
      </c>
      <c r="Q49" s="82">
        <v>880</v>
      </c>
      <c r="R49" s="186"/>
    </row>
    <row r="50" spans="1:18" ht="16.5" hidden="1" customHeight="1">
      <c r="A50" s="268"/>
      <c r="B50" s="259"/>
      <c r="C50" s="262"/>
      <c r="D50" s="214" t="s">
        <v>38</v>
      </c>
      <c r="E50" s="69">
        <v>810</v>
      </c>
      <c r="F50" s="12">
        <v>0</v>
      </c>
      <c r="G50" s="150">
        <f>F50*E50</f>
        <v>0</v>
      </c>
      <c r="H50" s="10">
        <v>0</v>
      </c>
      <c r="I50" s="11">
        <f>H50*E50</f>
        <v>0</v>
      </c>
      <c r="J50" s="195" t="str">
        <f t="shared" si="0"/>
        <v>-</v>
      </c>
      <c r="K50" s="196" t="str">
        <f t="shared" si="0"/>
        <v>-</v>
      </c>
      <c r="L50" s="85"/>
      <c r="M50" s="82"/>
      <c r="N50" s="77" t="str">
        <f t="shared" si="2"/>
        <v>-</v>
      </c>
      <c r="O50" s="88" t="str">
        <f t="shared" si="2"/>
        <v>-</v>
      </c>
      <c r="P50" s="85">
        <v>0</v>
      </c>
      <c r="Q50" s="82">
        <v>0</v>
      </c>
      <c r="R50" s="186"/>
    </row>
    <row r="51" spans="1:18" ht="16.5" hidden="1" customHeight="1">
      <c r="A51" s="268"/>
      <c r="B51" s="259"/>
      <c r="C51" s="263"/>
      <c r="D51" s="250" t="s">
        <v>16</v>
      </c>
      <c r="E51" s="251"/>
      <c r="F51" s="65">
        <f>SUM(F48:F50)</f>
        <v>0</v>
      </c>
      <c r="G51" s="151">
        <f>SUM(G48:G50)</f>
        <v>0</v>
      </c>
      <c r="H51" s="164">
        <f>SUM(H48:H50)</f>
        <v>0</v>
      </c>
      <c r="I51" s="165">
        <f>SUM(I48:I50)</f>
        <v>0</v>
      </c>
      <c r="J51" s="209" t="str">
        <f t="shared" si="0"/>
        <v>-</v>
      </c>
      <c r="K51" s="210" t="str">
        <f t="shared" si="0"/>
        <v>-</v>
      </c>
      <c r="L51" s="65">
        <f>SUM(L48:L50)</f>
        <v>0</v>
      </c>
      <c r="M51" s="74">
        <f>SUM(M48:M50)</f>
        <v>0</v>
      </c>
      <c r="N51" s="78">
        <f t="shared" si="2"/>
        <v>-1</v>
      </c>
      <c r="O51" s="89">
        <f t="shared" si="2"/>
        <v>-1</v>
      </c>
      <c r="P51" s="65">
        <f>SUM(P48:P50)</f>
        <v>2</v>
      </c>
      <c r="Q51" s="74">
        <f>SUM(Q48:Q50)</f>
        <v>1600</v>
      </c>
      <c r="R51" s="186"/>
    </row>
    <row r="52" spans="1:18" ht="16.5" hidden="1" customHeight="1">
      <c r="A52" s="268"/>
      <c r="B52" s="260"/>
      <c r="C52" s="270" t="s">
        <v>20</v>
      </c>
      <c r="D52" s="271"/>
      <c r="E52" s="272"/>
      <c r="F52" s="102">
        <f>SUM(F47,F51)</f>
        <v>0</v>
      </c>
      <c r="G52" s="159">
        <f>SUM(G47,G51)</f>
        <v>0</v>
      </c>
      <c r="H52" s="175">
        <f>H51+H47</f>
        <v>0</v>
      </c>
      <c r="I52" s="176">
        <f>I51+I47</f>
        <v>0</v>
      </c>
      <c r="J52" s="211" t="str">
        <f t="shared" si="0"/>
        <v>-</v>
      </c>
      <c r="K52" s="212" t="str">
        <f t="shared" si="0"/>
        <v>-</v>
      </c>
      <c r="L52" s="102">
        <f>L51+L47</f>
        <v>0</v>
      </c>
      <c r="M52" s="119">
        <f>M51+M47</f>
        <v>0</v>
      </c>
      <c r="N52" s="122">
        <f t="shared" si="2"/>
        <v>-1</v>
      </c>
      <c r="O52" s="126">
        <f t="shared" si="2"/>
        <v>-1</v>
      </c>
      <c r="P52" s="102">
        <f>P51+P47</f>
        <v>5</v>
      </c>
      <c r="Q52" s="119">
        <f>Q51+Q47</f>
        <v>2250</v>
      </c>
      <c r="R52" s="186"/>
    </row>
    <row r="53" spans="1:18" ht="16.5" hidden="1" customHeight="1">
      <c r="A53" s="268"/>
      <c r="B53" s="258" t="s">
        <v>21</v>
      </c>
      <c r="C53" s="252" t="s">
        <v>12</v>
      </c>
      <c r="D53" s="215" t="s">
        <v>13</v>
      </c>
      <c r="E53" s="70">
        <v>190</v>
      </c>
      <c r="F53" s="5">
        <v>0</v>
      </c>
      <c r="G53" s="6">
        <f>F53*E53</f>
        <v>0</v>
      </c>
      <c r="H53" s="7">
        <v>0</v>
      </c>
      <c r="I53" s="8">
        <f>H53*E53</f>
        <v>0</v>
      </c>
      <c r="J53" s="197" t="str">
        <f t="shared" si="0"/>
        <v>-</v>
      </c>
      <c r="K53" s="198" t="str">
        <f t="shared" si="0"/>
        <v>-</v>
      </c>
      <c r="L53" s="86"/>
      <c r="M53" s="83"/>
      <c r="N53" s="9" t="str">
        <f t="shared" si="2"/>
        <v>-</v>
      </c>
      <c r="O53" s="90" t="str">
        <f t="shared" si="2"/>
        <v>-</v>
      </c>
      <c r="P53" s="86">
        <v>0</v>
      </c>
      <c r="Q53" s="83">
        <v>0</v>
      </c>
      <c r="R53" s="188"/>
    </row>
    <row r="54" spans="1:18" ht="16.5" hidden="1" customHeight="1">
      <c r="A54" s="268"/>
      <c r="B54" s="259"/>
      <c r="C54" s="253"/>
      <c r="D54" s="214" t="s">
        <v>15</v>
      </c>
      <c r="E54" s="69">
        <v>120</v>
      </c>
      <c r="F54" s="12"/>
      <c r="G54" s="150"/>
      <c r="H54" s="10">
        <v>0</v>
      </c>
      <c r="I54" s="11">
        <f>H54*E54</f>
        <v>0</v>
      </c>
      <c r="J54" s="195" t="str">
        <f t="shared" si="0"/>
        <v>-</v>
      </c>
      <c r="K54" s="196" t="str">
        <f t="shared" si="0"/>
        <v>-</v>
      </c>
      <c r="L54" s="85"/>
      <c r="M54" s="82"/>
      <c r="N54" s="77" t="str">
        <f t="shared" si="2"/>
        <v>-</v>
      </c>
      <c r="O54" s="88" t="str">
        <f t="shared" si="2"/>
        <v>-</v>
      </c>
      <c r="P54" s="85">
        <v>0</v>
      </c>
      <c r="Q54" s="82">
        <v>0</v>
      </c>
      <c r="R54" s="188"/>
    </row>
    <row r="55" spans="1:18" ht="16.5" hidden="1" customHeight="1">
      <c r="A55" s="268"/>
      <c r="B55" s="259"/>
      <c r="C55" s="253"/>
      <c r="D55" s="214" t="s">
        <v>37</v>
      </c>
      <c r="E55" s="69">
        <v>300</v>
      </c>
      <c r="F55" s="12">
        <v>0</v>
      </c>
      <c r="G55" s="150">
        <f>F55*E55</f>
        <v>0</v>
      </c>
      <c r="H55" s="10">
        <v>0</v>
      </c>
      <c r="I55" s="11">
        <f>H55*E55</f>
        <v>0</v>
      </c>
      <c r="J55" s="195" t="str">
        <f t="shared" si="0"/>
        <v>-</v>
      </c>
      <c r="K55" s="196" t="str">
        <f t="shared" si="0"/>
        <v>-</v>
      </c>
      <c r="L55" s="85"/>
      <c r="M55" s="82"/>
      <c r="N55" s="77" t="str">
        <f t="shared" si="2"/>
        <v>-</v>
      </c>
      <c r="O55" s="88" t="str">
        <f t="shared" si="2"/>
        <v>-</v>
      </c>
      <c r="P55" s="85">
        <v>0</v>
      </c>
      <c r="Q55" s="82">
        <v>0</v>
      </c>
      <c r="R55" s="188"/>
    </row>
    <row r="56" spans="1:18" ht="16.5" hidden="1" customHeight="1">
      <c r="A56" s="268"/>
      <c r="B56" s="259"/>
      <c r="C56" s="254"/>
      <c r="D56" s="250" t="s">
        <v>16</v>
      </c>
      <c r="E56" s="251"/>
      <c r="F56" s="65">
        <f>SUM(F53:F55)</f>
        <v>0</v>
      </c>
      <c r="G56" s="151">
        <f>SUM(G53:G55)</f>
        <v>0</v>
      </c>
      <c r="H56" s="164">
        <f>SUM(H53:H55)</f>
        <v>0</v>
      </c>
      <c r="I56" s="165">
        <f>SUM(I53:I55)</f>
        <v>0</v>
      </c>
      <c r="J56" s="209" t="str">
        <f t="shared" si="0"/>
        <v>-</v>
      </c>
      <c r="K56" s="210" t="str">
        <f t="shared" si="0"/>
        <v>-</v>
      </c>
      <c r="L56" s="65">
        <f>SUM(L53:L55)</f>
        <v>0</v>
      </c>
      <c r="M56" s="74">
        <f>SUM(M53:M55)</f>
        <v>0</v>
      </c>
      <c r="N56" s="78" t="str">
        <f t="shared" si="2"/>
        <v>-</v>
      </c>
      <c r="O56" s="89" t="str">
        <f t="shared" si="2"/>
        <v>-</v>
      </c>
      <c r="P56" s="65">
        <f>SUM(P53:P55)</f>
        <v>0</v>
      </c>
      <c r="Q56" s="74">
        <f>SUM(Q53:Q55)</f>
        <v>0</v>
      </c>
      <c r="R56" s="188"/>
    </row>
    <row r="57" spans="1:18" ht="16.5" hidden="1" customHeight="1">
      <c r="A57" s="268"/>
      <c r="B57" s="259"/>
      <c r="C57" s="252" t="s">
        <v>17</v>
      </c>
      <c r="D57" s="215" t="s">
        <v>18</v>
      </c>
      <c r="E57" s="70">
        <v>440</v>
      </c>
      <c r="F57" s="5">
        <v>0</v>
      </c>
      <c r="G57" s="6">
        <f>F57*E57</f>
        <v>0</v>
      </c>
      <c r="H57" s="7">
        <v>0</v>
      </c>
      <c r="I57" s="8">
        <f>H57*E57</f>
        <v>0</v>
      </c>
      <c r="J57" s="197" t="str">
        <f t="shared" si="0"/>
        <v>-</v>
      </c>
      <c r="K57" s="198" t="str">
        <f t="shared" si="0"/>
        <v>-</v>
      </c>
      <c r="L57" s="86"/>
      <c r="M57" s="83"/>
      <c r="N57" s="9" t="str">
        <f t="shared" si="2"/>
        <v>-</v>
      </c>
      <c r="O57" s="90" t="str">
        <f t="shared" si="2"/>
        <v>-</v>
      </c>
      <c r="P57" s="86">
        <v>0</v>
      </c>
      <c r="Q57" s="83">
        <v>0</v>
      </c>
      <c r="R57" s="188"/>
    </row>
    <row r="58" spans="1:18" ht="16.5" hidden="1" customHeight="1">
      <c r="A58" s="268"/>
      <c r="B58" s="259"/>
      <c r="C58" s="253"/>
      <c r="D58" s="214" t="s">
        <v>19</v>
      </c>
      <c r="E58" s="69">
        <v>520</v>
      </c>
      <c r="F58" s="12">
        <v>0</v>
      </c>
      <c r="G58" s="150">
        <v>0</v>
      </c>
      <c r="H58" s="10">
        <v>0</v>
      </c>
      <c r="I58" s="11">
        <f>H58*E58</f>
        <v>0</v>
      </c>
      <c r="J58" s="195" t="str">
        <f t="shared" si="0"/>
        <v>-</v>
      </c>
      <c r="K58" s="196" t="str">
        <f t="shared" si="0"/>
        <v>-</v>
      </c>
      <c r="L58" s="85"/>
      <c r="M58" s="82"/>
      <c r="N58" s="77" t="str">
        <f t="shared" si="2"/>
        <v>-</v>
      </c>
      <c r="O58" s="88" t="str">
        <f t="shared" si="2"/>
        <v>-</v>
      </c>
      <c r="P58" s="85">
        <v>0</v>
      </c>
      <c r="Q58" s="82">
        <v>0</v>
      </c>
      <c r="R58" s="188"/>
    </row>
    <row r="59" spans="1:18" ht="16.5" hidden="1" customHeight="1">
      <c r="A59" s="268"/>
      <c r="B59" s="259"/>
      <c r="C59" s="253"/>
      <c r="D59" s="214" t="s">
        <v>38</v>
      </c>
      <c r="E59" s="69">
        <v>600</v>
      </c>
      <c r="F59" s="12">
        <v>0</v>
      </c>
      <c r="G59" s="150">
        <f>F59*E59</f>
        <v>0</v>
      </c>
      <c r="H59" s="10">
        <v>0</v>
      </c>
      <c r="I59" s="11">
        <f>H59*E59</f>
        <v>0</v>
      </c>
      <c r="J59" s="195" t="str">
        <f t="shared" si="0"/>
        <v>-</v>
      </c>
      <c r="K59" s="196" t="str">
        <f t="shared" si="0"/>
        <v>-</v>
      </c>
      <c r="L59" s="85"/>
      <c r="M59" s="82"/>
      <c r="N59" s="77" t="str">
        <f t="shared" si="2"/>
        <v>-</v>
      </c>
      <c r="O59" s="88" t="str">
        <f t="shared" si="2"/>
        <v>-</v>
      </c>
      <c r="P59" s="85">
        <v>0</v>
      </c>
      <c r="Q59" s="82">
        <v>0</v>
      </c>
      <c r="R59" s="188"/>
    </row>
    <row r="60" spans="1:18" ht="16.5" hidden="1" customHeight="1">
      <c r="A60" s="268"/>
      <c r="B60" s="259"/>
      <c r="C60" s="254"/>
      <c r="D60" s="250" t="s">
        <v>16</v>
      </c>
      <c r="E60" s="251"/>
      <c r="F60" s="65">
        <f>SUM(F57:F59)</f>
        <v>0</v>
      </c>
      <c r="G60" s="151">
        <f>SUM(G57:G59)</f>
        <v>0</v>
      </c>
      <c r="H60" s="164">
        <f>SUM(H57:H59)</f>
        <v>0</v>
      </c>
      <c r="I60" s="165">
        <f>SUM(I57:I59)</f>
        <v>0</v>
      </c>
      <c r="J60" s="209" t="str">
        <f t="shared" si="0"/>
        <v>-</v>
      </c>
      <c r="K60" s="210" t="str">
        <f t="shared" si="0"/>
        <v>-</v>
      </c>
      <c r="L60" s="65">
        <f>SUM(L57:L59)</f>
        <v>0</v>
      </c>
      <c r="M60" s="74">
        <f>SUM(M57:M59)</f>
        <v>0</v>
      </c>
      <c r="N60" s="78" t="str">
        <f t="shared" si="2"/>
        <v>-</v>
      </c>
      <c r="O60" s="89" t="str">
        <f t="shared" si="2"/>
        <v>-</v>
      </c>
      <c r="P60" s="65">
        <f>SUM(P57:P59)</f>
        <v>0</v>
      </c>
      <c r="Q60" s="74">
        <f>SUM(Q57:Q59)</f>
        <v>0</v>
      </c>
      <c r="R60" s="188"/>
    </row>
    <row r="61" spans="1:18" ht="16.5" hidden="1" customHeight="1">
      <c r="A61" s="268"/>
      <c r="B61" s="260"/>
      <c r="C61" s="255" t="s">
        <v>20</v>
      </c>
      <c r="D61" s="256"/>
      <c r="E61" s="257"/>
      <c r="F61" s="102">
        <f>SUM(F56,F60)</f>
        <v>0</v>
      </c>
      <c r="G61" s="159">
        <f>SUM(G56,G60)</f>
        <v>0</v>
      </c>
      <c r="H61" s="175">
        <f>H60+H56</f>
        <v>0</v>
      </c>
      <c r="I61" s="176">
        <f>I60+I56</f>
        <v>0</v>
      </c>
      <c r="J61" s="211" t="str">
        <f t="shared" si="0"/>
        <v>-</v>
      </c>
      <c r="K61" s="212" t="str">
        <f t="shared" si="0"/>
        <v>-</v>
      </c>
      <c r="L61" s="102">
        <f>L60+L56</f>
        <v>0</v>
      </c>
      <c r="M61" s="119">
        <f>M60+M56</f>
        <v>0</v>
      </c>
      <c r="N61" s="122" t="str">
        <f t="shared" si="2"/>
        <v>-</v>
      </c>
      <c r="O61" s="126" t="str">
        <f t="shared" si="2"/>
        <v>-</v>
      </c>
      <c r="P61" s="102">
        <f>SUM(P56,P60)</f>
        <v>0</v>
      </c>
      <c r="Q61" s="119">
        <f>SUM(Q56,Q60)</f>
        <v>0</v>
      </c>
      <c r="R61" s="188"/>
    </row>
    <row r="62" spans="1:18" ht="16.5" hidden="1" customHeight="1">
      <c r="A62" s="268"/>
      <c r="B62" s="258" t="s">
        <v>26</v>
      </c>
      <c r="C62" s="261" t="s">
        <v>12</v>
      </c>
      <c r="D62" s="215" t="s">
        <v>13</v>
      </c>
      <c r="E62" s="70">
        <v>190</v>
      </c>
      <c r="F62" s="5">
        <v>0</v>
      </c>
      <c r="G62" s="6">
        <f>F62*E62</f>
        <v>0</v>
      </c>
      <c r="H62" s="7">
        <v>0</v>
      </c>
      <c r="I62" s="8">
        <f>H62*E62</f>
        <v>0</v>
      </c>
      <c r="J62" s="197" t="str">
        <f t="shared" si="0"/>
        <v>-</v>
      </c>
      <c r="K62" s="198" t="str">
        <f t="shared" si="0"/>
        <v>-</v>
      </c>
      <c r="L62" s="86"/>
      <c r="M62" s="83"/>
      <c r="N62" s="9">
        <f t="shared" si="2"/>
        <v>-1</v>
      </c>
      <c r="O62" s="90">
        <f t="shared" si="2"/>
        <v>-1</v>
      </c>
      <c r="P62" s="86">
        <v>5</v>
      </c>
      <c r="Q62" s="83">
        <v>1020</v>
      </c>
      <c r="R62" s="188"/>
    </row>
    <row r="63" spans="1:18" ht="16.5" hidden="1" customHeight="1">
      <c r="A63" s="268"/>
      <c r="B63" s="259"/>
      <c r="C63" s="262"/>
      <c r="D63" s="214" t="s">
        <v>15</v>
      </c>
      <c r="E63" s="69">
        <v>120</v>
      </c>
      <c r="F63" s="12">
        <v>0</v>
      </c>
      <c r="G63" s="150">
        <v>0</v>
      </c>
      <c r="H63" s="10">
        <v>0</v>
      </c>
      <c r="I63" s="11">
        <f>H63*E63</f>
        <v>0</v>
      </c>
      <c r="J63" s="195" t="str">
        <f t="shared" si="0"/>
        <v>-</v>
      </c>
      <c r="K63" s="196" t="str">
        <f t="shared" si="0"/>
        <v>-</v>
      </c>
      <c r="L63" s="85"/>
      <c r="M63" s="82"/>
      <c r="N63" s="77" t="str">
        <f t="shared" si="2"/>
        <v>-</v>
      </c>
      <c r="O63" s="88" t="str">
        <f t="shared" si="2"/>
        <v>-</v>
      </c>
      <c r="P63" s="85">
        <v>0</v>
      </c>
      <c r="Q63" s="82">
        <v>0</v>
      </c>
      <c r="R63" s="188"/>
    </row>
    <row r="64" spans="1:18" ht="16.5" hidden="1" customHeight="1">
      <c r="A64" s="268"/>
      <c r="B64" s="259"/>
      <c r="C64" s="262"/>
      <c r="D64" s="214" t="s">
        <v>37</v>
      </c>
      <c r="E64" s="69">
        <v>300</v>
      </c>
      <c r="F64" s="12">
        <v>0</v>
      </c>
      <c r="G64" s="150">
        <f>F64*E64</f>
        <v>0</v>
      </c>
      <c r="H64" s="10">
        <v>0</v>
      </c>
      <c r="I64" s="11">
        <f>H64*E64</f>
        <v>0</v>
      </c>
      <c r="J64" s="195" t="str">
        <f t="shared" si="0"/>
        <v>-</v>
      </c>
      <c r="K64" s="196" t="str">
        <f t="shared" si="0"/>
        <v>-</v>
      </c>
      <c r="L64" s="85"/>
      <c r="M64" s="82"/>
      <c r="N64" s="77">
        <f t="shared" si="2"/>
        <v>-1</v>
      </c>
      <c r="O64" s="88">
        <f t="shared" si="2"/>
        <v>-1</v>
      </c>
      <c r="P64" s="85">
        <v>5</v>
      </c>
      <c r="Q64" s="82">
        <v>1800</v>
      </c>
      <c r="R64" s="188"/>
    </row>
    <row r="65" spans="1:18" ht="16.5" hidden="1" customHeight="1">
      <c r="A65" s="268"/>
      <c r="B65" s="259"/>
      <c r="C65" s="263"/>
      <c r="D65" s="250" t="s">
        <v>16</v>
      </c>
      <c r="E65" s="251"/>
      <c r="F65" s="65">
        <f>SUM(F62:F64)</f>
        <v>0</v>
      </c>
      <c r="G65" s="151">
        <f>SUM(G62:G64)</f>
        <v>0</v>
      </c>
      <c r="H65" s="164">
        <f>SUM(H62:H64)</f>
        <v>0</v>
      </c>
      <c r="I65" s="165">
        <f>SUM(I62:I64)</f>
        <v>0</v>
      </c>
      <c r="J65" s="209" t="str">
        <f t="shared" si="0"/>
        <v>-</v>
      </c>
      <c r="K65" s="210" t="str">
        <f t="shared" si="0"/>
        <v>-</v>
      </c>
      <c r="L65" s="65">
        <f>SUM(L62:L64)</f>
        <v>0</v>
      </c>
      <c r="M65" s="74">
        <f>SUM(M62:M64)</f>
        <v>0</v>
      </c>
      <c r="N65" s="78">
        <f t="shared" si="2"/>
        <v>-1</v>
      </c>
      <c r="O65" s="89">
        <f t="shared" si="2"/>
        <v>-1</v>
      </c>
      <c r="P65" s="65">
        <f>SUM(P62:P64)</f>
        <v>10</v>
      </c>
      <c r="Q65" s="74">
        <f>SUM(Q62:Q64)</f>
        <v>2820</v>
      </c>
      <c r="R65" s="188"/>
    </row>
    <row r="66" spans="1:18" ht="16.5" hidden="1" customHeight="1">
      <c r="A66" s="268"/>
      <c r="B66" s="259"/>
      <c r="C66" s="261" t="s">
        <v>17</v>
      </c>
      <c r="D66" s="215" t="s">
        <v>18</v>
      </c>
      <c r="E66" s="70">
        <v>440</v>
      </c>
      <c r="F66" s="5">
        <v>0</v>
      </c>
      <c r="G66" s="6">
        <f>F66*E66</f>
        <v>0</v>
      </c>
      <c r="H66" s="7">
        <v>0</v>
      </c>
      <c r="I66" s="8">
        <f>H66*E66</f>
        <v>0</v>
      </c>
      <c r="J66" s="197" t="str">
        <f t="shared" si="0"/>
        <v>-</v>
      </c>
      <c r="K66" s="198" t="str">
        <f t="shared" si="0"/>
        <v>-</v>
      </c>
      <c r="L66" s="86"/>
      <c r="M66" s="83"/>
      <c r="N66" s="9">
        <f t="shared" si="2"/>
        <v>-1</v>
      </c>
      <c r="O66" s="90">
        <f t="shared" si="2"/>
        <v>-1</v>
      </c>
      <c r="P66" s="86">
        <v>3</v>
      </c>
      <c r="Q66" s="83">
        <v>1770</v>
      </c>
      <c r="R66" s="188"/>
    </row>
    <row r="67" spans="1:18" ht="16.5" hidden="1" customHeight="1">
      <c r="A67" s="268"/>
      <c r="B67" s="259"/>
      <c r="C67" s="262"/>
      <c r="D67" s="214" t="s">
        <v>19</v>
      </c>
      <c r="E67" s="69">
        <v>520</v>
      </c>
      <c r="F67" s="12">
        <v>0</v>
      </c>
      <c r="G67" s="150">
        <v>0</v>
      </c>
      <c r="H67" s="10">
        <v>0</v>
      </c>
      <c r="I67" s="11">
        <f>H67*E67</f>
        <v>0</v>
      </c>
      <c r="J67" s="195" t="str">
        <f t="shared" si="0"/>
        <v>-</v>
      </c>
      <c r="K67" s="196" t="str">
        <f t="shared" si="0"/>
        <v>-</v>
      </c>
      <c r="L67" s="85"/>
      <c r="M67" s="82"/>
      <c r="N67" s="77">
        <f t="shared" si="2"/>
        <v>-1</v>
      </c>
      <c r="O67" s="88">
        <f t="shared" si="2"/>
        <v>-1</v>
      </c>
      <c r="P67" s="85">
        <v>3</v>
      </c>
      <c r="Q67" s="82">
        <v>2160</v>
      </c>
      <c r="R67" s="188"/>
    </row>
    <row r="68" spans="1:18" ht="16.5" hidden="1" customHeight="1">
      <c r="A68" s="268"/>
      <c r="B68" s="259"/>
      <c r="C68" s="262"/>
      <c r="D68" s="214" t="s">
        <v>38</v>
      </c>
      <c r="E68" s="69">
        <v>600</v>
      </c>
      <c r="F68" s="12">
        <v>0</v>
      </c>
      <c r="G68" s="150">
        <f>F68*E68</f>
        <v>0</v>
      </c>
      <c r="H68" s="10">
        <v>0</v>
      </c>
      <c r="I68" s="11">
        <f>H68*E68</f>
        <v>0</v>
      </c>
      <c r="J68" s="195" t="str">
        <f t="shared" si="0"/>
        <v>-</v>
      </c>
      <c r="K68" s="196" t="str">
        <f t="shared" si="0"/>
        <v>-</v>
      </c>
      <c r="L68" s="85"/>
      <c r="M68" s="82"/>
      <c r="N68" s="77" t="str">
        <f t="shared" si="2"/>
        <v>-</v>
      </c>
      <c r="O68" s="88" t="str">
        <f t="shared" si="2"/>
        <v>-</v>
      </c>
      <c r="P68" s="85">
        <v>0</v>
      </c>
      <c r="Q68" s="82">
        <v>0</v>
      </c>
      <c r="R68" s="188"/>
    </row>
    <row r="69" spans="1:18" ht="16.5" hidden="1" customHeight="1">
      <c r="A69" s="268"/>
      <c r="B69" s="259"/>
      <c r="C69" s="263"/>
      <c r="D69" s="250" t="s">
        <v>16</v>
      </c>
      <c r="E69" s="251"/>
      <c r="F69" s="65">
        <f>SUM(F66:F68)</f>
        <v>0</v>
      </c>
      <c r="G69" s="151">
        <f>SUM(G66:G68)</f>
        <v>0</v>
      </c>
      <c r="H69" s="164">
        <f>SUM(H66:H68)</f>
        <v>0</v>
      </c>
      <c r="I69" s="165">
        <f>SUM(I66:I68)</f>
        <v>0</v>
      </c>
      <c r="J69" s="209" t="str">
        <f t="shared" si="0"/>
        <v>-</v>
      </c>
      <c r="K69" s="210" t="str">
        <f t="shared" si="0"/>
        <v>-</v>
      </c>
      <c r="L69" s="65">
        <f>SUM(L66:L68)</f>
        <v>0</v>
      </c>
      <c r="M69" s="74">
        <f>SUM(M66:M68)</f>
        <v>0</v>
      </c>
      <c r="N69" s="78">
        <f t="shared" si="2"/>
        <v>-1</v>
      </c>
      <c r="O69" s="89">
        <f t="shared" si="2"/>
        <v>-1</v>
      </c>
      <c r="P69" s="65">
        <f>SUM(P66:P68)</f>
        <v>6</v>
      </c>
      <c r="Q69" s="74">
        <f>SUM(Q66:Q68)</f>
        <v>3930</v>
      </c>
      <c r="R69" s="188"/>
    </row>
    <row r="70" spans="1:18" ht="16.5" hidden="1" customHeight="1">
      <c r="A70" s="269"/>
      <c r="B70" s="260"/>
      <c r="C70" s="255" t="s">
        <v>20</v>
      </c>
      <c r="D70" s="256"/>
      <c r="E70" s="257"/>
      <c r="F70" s="102">
        <f>SUM(F65,F69)</f>
        <v>0</v>
      </c>
      <c r="G70" s="159">
        <f>SUM(G65,G69)</f>
        <v>0</v>
      </c>
      <c r="H70" s="175">
        <f>H69+H65</f>
        <v>0</v>
      </c>
      <c r="I70" s="176">
        <f>I69+I65</f>
        <v>0</v>
      </c>
      <c r="J70" s="211" t="str">
        <f t="shared" si="0"/>
        <v>-</v>
      </c>
      <c r="K70" s="212" t="str">
        <f t="shared" si="0"/>
        <v>-</v>
      </c>
      <c r="L70" s="102">
        <f>L69+L65</f>
        <v>0</v>
      </c>
      <c r="M70" s="119">
        <f>M69+M65</f>
        <v>0</v>
      </c>
      <c r="N70" s="122">
        <f t="shared" si="2"/>
        <v>-1</v>
      </c>
      <c r="O70" s="126">
        <f t="shared" si="2"/>
        <v>-1</v>
      </c>
      <c r="P70" s="102">
        <f>P69+P65</f>
        <v>16</v>
      </c>
      <c r="Q70" s="119">
        <f>Q69+Q65</f>
        <v>6750</v>
      </c>
      <c r="R70" s="188"/>
    </row>
    <row r="71" spans="1:18" ht="16.5" hidden="1" customHeight="1">
      <c r="A71" s="239" t="s">
        <v>49</v>
      </c>
      <c r="B71" s="240"/>
      <c r="C71" s="240"/>
      <c r="D71" s="240"/>
      <c r="E71" s="241"/>
      <c r="F71" s="97">
        <f>F70+F61+F52</f>
        <v>0</v>
      </c>
      <c r="G71" s="158">
        <f>G70+G61+G52</f>
        <v>0</v>
      </c>
      <c r="H71" s="173">
        <f>H70+H61+H52</f>
        <v>0</v>
      </c>
      <c r="I71" s="174">
        <f>I70+I61+I52</f>
        <v>0</v>
      </c>
      <c r="J71" s="207" t="str">
        <f t="shared" ref="J71:K83" si="3">IFERROR(H71/L71-1,"-")</f>
        <v>-</v>
      </c>
      <c r="K71" s="208" t="str">
        <f t="shared" si="3"/>
        <v>-</v>
      </c>
      <c r="L71" s="97">
        <f>L70+L61+L52</f>
        <v>0</v>
      </c>
      <c r="M71" s="118">
        <f>M70+M61+M52</f>
        <v>0</v>
      </c>
      <c r="N71" s="121">
        <f t="shared" ref="N71:O83" si="4">IFERROR(H71/P71-1,"-")</f>
        <v>-1</v>
      </c>
      <c r="O71" s="125">
        <f t="shared" si="4"/>
        <v>-1</v>
      </c>
      <c r="P71" s="97">
        <f>P70+P61+P52</f>
        <v>21</v>
      </c>
      <c r="Q71" s="118">
        <f>Q70+Q61+Q52</f>
        <v>9000</v>
      </c>
      <c r="R71" s="188"/>
    </row>
    <row r="72" spans="1:18" ht="16.5" hidden="1" customHeight="1">
      <c r="A72" s="242" t="s">
        <v>51</v>
      </c>
      <c r="B72" s="242" t="s">
        <v>50</v>
      </c>
      <c r="C72" s="245" t="s">
        <v>12</v>
      </c>
      <c r="D72" s="219" t="s">
        <v>52</v>
      </c>
      <c r="E72" s="109"/>
      <c r="F72" s="98"/>
      <c r="G72" s="154"/>
      <c r="H72" s="17"/>
      <c r="I72" s="18"/>
      <c r="J72" s="205" t="str">
        <f t="shared" si="3"/>
        <v>-</v>
      </c>
      <c r="K72" s="206" t="str">
        <f t="shared" si="3"/>
        <v>-</v>
      </c>
      <c r="L72" s="98"/>
      <c r="M72" s="114"/>
      <c r="N72" s="19">
        <f t="shared" si="4"/>
        <v>-1</v>
      </c>
      <c r="O72" s="87">
        <f t="shared" si="4"/>
        <v>-1</v>
      </c>
      <c r="P72" s="98">
        <v>15</v>
      </c>
      <c r="Q72" s="114">
        <f>1690+910</f>
        <v>2600</v>
      </c>
      <c r="R72" s="189"/>
    </row>
    <row r="73" spans="1:18" ht="16.5" hidden="1" customHeight="1">
      <c r="A73" s="243"/>
      <c r="B73" s="243"/>
      <c r="C73" s="246"/>
      <c r="D73" s="220" t="s">
        <v>53</v>
      </c>
      <c r="E73" s="110"/>
      <c r="F73" s="101"/>
      <c r="G73" s="157"/>
      <c r="H73" s="20"/>
      <c r="I73" s="172"/>
      <c r="J73" s="195" t="str">
        <f t="shared" si="3"/>
        <v>-</v>
      </c>
      <c r="K73" s="196" t="str">
        <f t="shared" si="3"/>
        <v>-</v>
      </c>
      <c r="L73" s="101"/>
      <c r="M73" s="117"/>
      <c r="N73" s="77" t="str">
        <f t="shared" si="4"/>
        <v>-</v>
      </c>
      <c r="O73" s="88" t="str">
        <f t="shared" si="4"/>
        <v>-</v>
      </c>
      <c r="P73" s="101">
        <v>0</v>
      </c>
      <c r="Q73" s="117">
        <v>0</v>
      </c>
      <c r="R73" s="189"/>
    </row>
    <row r="74" spans="1:18" ht="16.5" hidden="1" customHeight="1">
      <c r="A74" s="243"/>
      <c r="B74" s="243"/>
      <c r="C74" s="246"/>
      <c r="D74" s="220" t="s">
        <v>37</v>
      </c>
      <c r="E74" s="110"/>
      <c r="F74" s="101"/>
      <c r="G74" s="157"/>
      <c r="H74" s="20"/>
      <c r="I74" s="172"/>
      <c r="J74" s="195" t="str">
        <f t="shared" si="3"/>
        <v>-</v>
      </c>
      <c r="K74" s="196" t="str">
        <f t="shared" si="3"/>
        <v>-</v>
      </c>
      <c r="L74" s="101"/>
      <c r="M74" s="117"/>
      <c r="N74" s="77">
        <f t="shared" si="4"/>
        <v>-1</v>
      </c>
      <c r="O74" s="88">
        <f t="shared" si="4"/>
        <v>-1</v>
      </c>
      <c r="P74" s="101">
        <v>1</v>
      </c>
      <c r="Q74" s="117">
        <v>310</v>
      </c>
      <c r="R74" s="189"/>
    </row>
    <row r="75" spans="1:18" ht="16.5" hidden="1" customHeight="1">
      <c r="A75" s="243"/>
      <c r="B75" s="243"/>
      <c r="C75" s="247"/>
      <c r="D75" s="248" t="s">
        <v>16</v>
      </c>
      <c r="E75" s="249"/>
      <c r="F75" s="99">
        <f>SUM(F72:F74)</f>
        <v>0</v>
      </c>
      <c r="G75" s="155">
        <f>SUM(G72:G74)</f>
        <v>0</v>
      </c>
      <c r="H75" s="170">
        <f>SUM(H72:H74)</f>
        <v>0</v>
      </c>
      <c r="I75" s="171">
        <f>SUM(I72:I74)</f>
        <v>0</v>
      </c>
      <c r="J75" s="209" t="str">
        <f t="shared" si="3"/>
        <v>-</v>
      </c>
      <c r="K75" s="210" t="str">
        <f t="shared" si="3"/>
        <v>-</v>
      </c>
      <c r="L75" s="99">
        <f>SUM(L72:L74)</f>
        <v>0</v>
      </c>
      <c r="M75" s="115">
        <f>SUM(M72:M74)</f>
        <v>0</v>
      </c>
      <c r="N75" s="78">
        <f t="shared" si="4"/>
        <v>-1</v>
      </c>
      <c r="O75" s="89">
        <f t="shared" si="4"/>
        <v>-1</v>
      </c>
      <c r="P75" s="99">
        <f>SUM(P72:P74)</f>
        <v>16</v>
      </c>
      <c r="Q75" s="115">
        <f>SUM(Q72:Q74)</f>
        <v>2910</v>
      </c>
      <c r="R75" s="189"/>
    </row>
    <row r="76" spans="1:18" ht="16.5" hidden="1" customHeight="1">
      <c r="A76" s="243"/>
      <c r="B76" s="243"/>
      <c r="C76" s="245" t="s">
        <v>17</v>
      </c>
      <c r="D76" s="221" t="s">
        <v>18</v>
      </c>
      <c r="E76" s="111"/>
      <c r="F76" s="100"/>
      <c r="G76" s="156"/>
      <c r="H76" s="21"/>
      <c r="I76" s="28"/>
      <c r="J76" s="197" t="str">
        <f t="shared" si="3"/>
        <v>-</v>
      </c>
      <c r="K76" s="198" t="str">
        <f t="shared" si="3"/>
        <v>-</v>
      </c>
      <c r="L76" s="100"/>
      <c r="M76" s="116"/>
      <c r="N76" s="9">
        <f t="shared" si="4"/>
        <v>-1</v>
      </c>
      <c r="O76" s="90">
        <f t="shared" si="4"/>
        <v>-1</v>
      </c>
      <c r="P76" s="100">
        <f>33+4+1+9</f>
        <v>47</v>
      </c>
      <c r="Q76" s="116">
        <f>14520+1760+490+4410</f>
        <v>21180</v>
      </c>
      <c r="R76" s="189"/>
    </row>
    <row r="77" spans="1:18" ht="16.5" hidden="1" customHeight="1">
      <c r="A77" s="243"/>
      <c r="B77" s="243"/>
      <c r="C77" s="246"/>
      <c r="D77" s="220" t="s">
        <v>19</v>
      </c>
      <c r="E77" s="110"/>
      <c r="F77" s="101"/>
      <c r="G77" s="157"/>
      <c r="H77" s="20"/>
      <c r="I77" s="172"/>
      <c r="J77" s="195" t="str">
        <f t="shared" si="3"/>
        <v>-</v>
      </c>
      <c r="K77" s="196" t="str">
        <f t="shared" si="3"/>
        <v>-</v>
      </c>
      <c r="L77" s="101"/>
      <c r="M77" s="117"/>
      <c r="N77" s="77">
        <f t="shared" si="4"/>
        <v>-1</v>
      </c>
      <c r="O77" s="88">
        <f t="shared" si="4"/>
        <v>-1</v>
      </c>
      <c r="P77" s="101">
        <f>34+6</f>
        <v>40</v>
      </c>
      <c r="Q77" s="117">
        <f>17680+3420</f>
        <v>21100</v>
      </c>
      <c r="R77" s="189"/>
    </row>
    <row r="78" spans="1:18" ht="16.5" hidden="1" customHeight="1">
      <c r="A78" s="243"/>
      <c r="B78" s="243"/>
      <c r="C78" s="246"/>
      <c r="D78" s="220" t="s">
        <v>38</v>
      </c>
      <c r="E78" s="110"/>
      <c r="F78" s="101"/>
      <c r="G78" s="157"/>
      <c r="H78" s="20"/>
      <c r="I78" s="172"/>
      <c r="J78" s="195" t="str">
        <f t="shared" si="3"/>
        <v>-</v>
      </c>
      <c r="K78" s="196" t="str">
        <f t="shared" si="3"/>
        <v>-</v>
      </c>
      <c r="L78" s="101"/>
      <c r="M78" s="117"/>
      <c r="N78" s="77" t="str">
        <f t="shared" si="4"/>
        <v>-</v>
      </c>
      <c r="O78" s="88" t="str">
        <f t="shared" si="4"/>
        <v>-</v>
      </c>
      <c r="P78" s="101">
        <v>0</v>
      </c>
      <c r="Q78" s="117">
        <v>0</v>
      </c>
      <c r="R78" s="189"/>
    </row>
    <row r="79" spans="1:18" ht="16.5" hidden="1" customHeight="1">
      <c r="A79" s="243"/>
      <c r="B79" s="243"/>
      <c r="C79" s="247"/>
      <c r="D79" s="248" t="s">
        <v>16</v>
      </c>
      <c r="E79" s="249"/>
      <c r="F79" s="99">
        <f>SUM(F76:F78)</f>
        <v>0</v>
      </c>
      <c r="G79" s="155">
        <f>SUM(G76:G78)</f>
        <v>0</v>
      </c>
      <c r="H79" s="170">
        <f>SUM(H76:H78)</f>
        <v>0</v>
      </c>
      <c r="I79" s="171">
        <f>SUM(I76:I78)</f>
        <v>0</v>
      </c>
      <c r="J79" s="209" t="str">
        <f t="shared" si="3"/>
        <v>-</v>
      </c>
      <c r="K79" s="210" t="str">
        <f t="shared" si="3"/>
        <v>-</v>
      </c>
      <c r="L79" s="99">
        <f>SUM(L76:L78)</f>
        <v>0</v>
      </c>
      <c r="M79" s="115">
        <f>SUM(M76:M78)</f>
        <v>0</v>
      </c>
      <c r="N79" s="78">
        <f t="shared" si="4"/>
        <v>-1</v>
      </c>
      <c r="O79" s="89">
        <f t="shared" si="4"/>
        <v>-1</v>
      </c>
      <c r="P79" s="99">
        <f>SUM(P76:P78)</f>
        <v>87</v>
      </c>
      <c r="Q79" s="115">
        <f>SUM(Q76:Q78)</f>
        <v>42280</v>
      </c>
      <c r="R79" s="189"/>
    </row>
    <row r="80" spans="1:18" ht="16.5" hidden="1" customHeight="1">
      <c r="A80" s="243"/>
      <c r="B80" s="243"/>
      <c r="C80" s="245" t="s">
        <v>54</v>
      </c>
      <c r="D80" s="221" t="s">
        <v>19</v>
      </c>
      <c r="E80" s="111"/>
      <c r="F80" s="100"/>
      <c r="G80" s="156"/>
      <c r="H80" s="21"/>
      <c r="I80" s="28"/>
      <c r="J80" s="197" t="str">
        <f t="shared" si="3"/>
        <v>-</v>
      </c>
      <c r="K80" s="198" t="str">
        <f t="shared" si="3"/>
        <v>-</v>
      </c>
      <c r="L80" s="100"/>
      <c r="M80" s="116"/>
      <c r="N80" s="9" t="str">
        <f t="shared" si="4"/>
        <v>-</v>
      </c>
      <c r="O80" s="90" t="str">
        <f t="shared" si="4"/>
        <v>-</v>
      </c>
      <c r="P80" s="100">
        <v>0</v>
      </c>
      <c r="Q80" s="116">
        <v>0</v>
      </c>
      <c r="R80" s="189"/>
    </row>
    <row r="81" spans="1:18" ht="16.5" hidden="1" customHeight="1">
      <c r="A81" s="244"/>
      <c r="B81" s="244"/>
      <c r="C81" s="247"/>
      <c r="D81" s="248" t="s">
        <v>16</v>
      </c>
      <c r="E81" s="249"/>
      <c r="F81" s="99">
        <f>SUM(F80)</f>
        <v>0</v>
      </c>
      <c r="G81" s="155">
        <f>SUM(G80)</f>
        <v>0</v>
      </c>
      <c r="H81" s="170">
        <f>SUM(H80)</f>
        <v>0</v>
      </c>
      <c r="I81" s="171">
        <f>SUM(I80)</f>
        <v>0</v>
      </c>
      <c r="J81" s="209" t="str">
        <f t="shared" si="3"/>
        <v>-</v>
      </c>
      <c r="K81" s="210" t="str">
        <f t="shared" si="3"/>
        <v>-</v>
      </c>
      <c r="L81" s="99">
        <f>SUM(L80)</f>
        <v>0</v>
      </c>
      <c r="M81" s="115">
        <f>SUM(M80)</f>
        <v>0</v>
      </c>
      <c r="N81" s="78" t="str">
        <f t="shared" si="4"/>
        <v>-</v>
      </c>
      <c r="O81" s="89" t="str">
        <f t="shared" si="4"/>
        <v>-</v>
      </c>
      <c r="P81" s="99">
        <f>SUM(P80)</f>
        <v>0</v>
      </c>
      <c r="Q81" s="115">
        <f>SUM(Q80)</f>
        <v>0</v>
      </c>
      <c r="R81" s="189"/>
    </row>
    <row r="82" spans="1:18" ht="16.5" hidden="1" customHeight="1">
      <c r="A82" s="371" t="s">
        <v>58</v>
      </c>
      <c r="B82" s="372"/>
      <c r="C82" s="372"/>
      <c r="D82" s="372"/>
      <c r="E82" s="373"/>
      <c r="F82" s="103">
        <f>F81+F79+F75</f>
        <v>0</v>
      </c>
      <c r="G82" s="160">
        <f>G81+G79+G75</f>
        <v>0</v>
      </c>
      <c r="H82" s="177">
        <f>H81+H79+H75</f>
        <v>0</v>
      </c>
      <c r="I82" s="178">
        <f>I81+I79+I75</f>
        <v>0</v>
      </c>
      <c r="J82" s="207" t="str">
        <f t="shared" si="3"/>
        <v>-</v>
      </c>
      <c r="K82" s="208" t="str">
        <f t="shared" si="3"/>
        <v>-</v>
      </c>
      <c r="L82" s="103">
        <f>L81+L79+L75</f>
        <v>0</v>
      </c>
      <c r="M82" s="120">
        <f>M81+M79+M75</f>
        <v>0</v>
      </c>
      <c r="N82" s="121">
        <f t="shared" si="4"/>
        <v>-1</v>
      </c>
      <c r="O82" s="125">
        <f t="shared" si="4"/>
        <v>-1</v>
      </c>
      <c r="P82" s="103">
        <f>P81+P79+P75</f>
        <v>103</v>
      </c>
      <c r="Q82" s="120">
        <f>Q81+Q79+Q75</f>
        <v>45190</v>
      </c>
      <c r="R82" s="188"/>
    </row>
    <row r="83" spans="1:18" ht="17.25" thickBot="1">
      <c r="A83" s="236" t="s">
        <v>55</v>
      </c>
      <c r="B83" s="237"/>
      <c r="C83" s="237"/>
      <c r="D83" s="237"/>
      <c r="E83" s="238"/>
      <c r="F83" s="199">
        <f>F82+F71+F43+F34</f>
        <v>11</v>
      </c>
      <c r="G83" s="225">
        <f>G82+G71+G43+G34</f>
        <v>5400</v>
      </c>
      <c r="H83" s="229">
        <f>H82+H71+H43+H34</f>
        <v>87</v>
      </c>
      <c r="I83" s="230">
        <f>I82+I71+I43+I34</f>
        <v>49440</v>
      </c>
      <c r="J83" s="201">
        <f t="shared" si="3"/>
        <v>-0.1470588235294118</v>
      </c>
      <c r="K83" s="202">
        <f t="shared" si="3"/>
        <v>-2.0222446916073888E-4</v>
      </c>
      <c r="L83" s="199">
        <f>L82+L71+L43+L34</f>
        <v>102</v>
      </c>
      <c r="M83" s="200">
        <f>M82+M71+M43+M34</f>
        <v>49450</v>
      </c>
      <c r="N83" s="203">
        <f t="shared" si="4"/>
        <v>-0.75900277008310246</v>
      </c>
      <c r="O83" s="204">
        <f t="shared" si="4"/>
        <v>-0.70175544429028169</v>
      </c>
      <c r="P83" s="199">
        <f>P82+P71+P43+P34</f>
        <v>361</v>
      </c>
      <c r="Q83" s="200">
        <f>Q82+Q71+Q43+Q34</f>
        <v>165770</v>
      </c>
      <c r="R83" s="190"/>
    </row>
    <row r="84" spans="1:18">
      <c r="A84" s="25" t="s">
        <v>42</v>
      </c>
    </row>
    <row r="85" spans="1:18">
      <c r="A85" s="25" t="s">
        <v>40</v>
      </c>
    </row>
    <row r="86" spans="1:18">
      <c r="A86" s="25" t="s">
        <v>41</v>
      </c>
    </row>
  </sheetData>
  <mergeCells count="66">
    <mergeCell ref="A83:E83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D65:E65"/>
    <mergeCell ref="C66:C69"/>
    <mergeCell ref="D69:E69"/>
    <mergeCell ref="C70:E70"/>
    <mergeCell ref="A82:E8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A34:E34"/>
    <mergeCell ref="A35:A42"/>
    <mergeCell ref="B35:B36"/>
    <mergeCell ref="C35:C36"/>
    <mergeCell ref="D36:E36"/>
    <mergeCell ref="B37:B42"/>
    <mergeCell ref="C37:C42"/>
    <mergeCell ref="B25:B33"/>
    <mergeCell ref="C25:C28"/>
    <mergeCell ref="D28:E28"/>
    <mergeCell ref="C29:C32"/>
    <mergeCell ref="D32:E32"/>
    <mergeCell ref="C33:E33"/>
    <mergeCell ref="B16:B24"/>
    <mergeCell ref="C16:C19"/>
    <mergeCell ref="D19:E19"/>
    <mergeCell ref="C20:C23"/>
    <mergeCell ref="D23:E23"/>
    <mergeCell ref="C24:E24"/>
    <mergeCell ref="N5:O5"/>
    <mergeCell ref="P5:Q5"/>
    <mergeCell ref="R5:R6"/>
    <mergeCell ref="A7:A33"/>
    <mergeCell ref="B7:B15"/>
    <mergeCell ref="C7:C10"/>
    <mergeCell ref="D10:E10"/>
    <mergeCell ref="C11:C14"/>
    <mergeCell ref="D14:E14"/>
    <mergeCell ref="C15:E15"/>
    <mergeCell ref="A5:D6"/>
    <mergeCell ref="E5:E6"/>
    <mergeCell ref="F5:G5"/>
    <mergeCell ref="H5:I5"/>
    <mergeCell ref="J5:K5"/>
    <mergeCell ref="L5:M5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3914-99A6-415B-86BE-BC5C52298423}">
  <dimension ref="A1:R87"/>
  <sheetViews>
    <sheetView showGridLines="0" zoomScale="70" zoomScaleNormal="70" workbookViewId="0">
      <selection activeCell="U29" sqref="U29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spans="1:18" ht="20.25">
      <c r="A1" s="26" t="s">
        <v>81</v>
      </c>
    </row>
    <row r="2" spans="1:18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spans="1:18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</row>
    <row r="4" spans="1:18" ht="17.25" thickBot="1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7" t="s">
        <v>1</v>
      </c>
    </row>
    <row r="5" spans="1:18" ht="23.25" customHeight="1">
      <c r="A5" s="289" t="s">
        <v>2</v>
      </c>
      <c r="B5" s="290"/>
      <c r="C5" s="290"/>
      <c r="D5" s="291"/>
      <c r="E5" s="295" t="s">
        <v>3</v>
      </c>
      <c r="F5" s="297" t="s">
        <v>82</v>
      </c>
      <c r="G5" s="298"/>
      <c r="H5" s="299" t="s">
        <v>83</v>
      </c>
      <c r="I5" s="300"/>
      <c r="J5" s="301" t="s">
        <v>69</v>
      </c>
      <c r="K5" s="285"/>
      <c r="L5" s="284" t="s">
        <v>79</v>
      </c>
      <c r="M5" s="285"/>
      <c r="N5" s="284" t="s">
        <v>4</v>
      </c>
      <c r="O5" s="285"/>
      <c r="P5" s="284" t="s">
        <v>72</v>
      </c>
      <c r="Q5" s="285"/>
      <c r="R5" s="286" t="s">
        <v>5</v>
      </c>
    </row>
    <row r="6" spans="1:18">
      <c r="A6" s="292"/>
      <c r="B6" s="293"/>
      <c r="C6" s="293"/>
      <c r="D6" s="294"/>
      <c r="E6" s="296"/>
      <c r="F6" s="222" t="s">
        <v>6</v>
      </c>
      <c r="G6" s="194" t="s">
        <v>7</v>
      </c>
      <c r="H6" s="227" t="s">
        <v>8</v>
      </c>
      <c r="I6" s="228" t="s">
        <v>9</v>
      </c>
      <c r="J6" s="226" t="s">
        <v>8</v>
      </c>
      <c r="K6" s="223" t="s">
        <v>9</v>
      </c>
      <c r="L6" s="224" t="s">
        <v>8</v>
      </c>
      <c r="M6" s="223" t="s">
        <v>9</v>
      </c>
      <c r="N6" s="224" t="s">
        <v>8</v>
      </c>
      <c r="O6" s="223" t="s">
        <v>9</v>
      </c>
      <c r="P6" s="224" t="s">
        <v>8</v>
      </c>
      <c r="Q6" s="223" t="s">
        <v>9</v>
      </c>
      <c r="R6" s="287"/>
    </row>
    <row r="7" spans="1:18">
      <c r="A7" s="288" t="s">
        <v>10</v>
      </c>
      <c r="B7" s="258" t="s">
        <v>11</v>
      </c>
      <c r="C7" s="261" t="s">
        <v>12</v>
      </c>
      <c r="D7" s="213" t="s">
        <v>13</v>
      </c>
      <c r="E7" s="68">
        <v>275</v>
      </c>
      <c r="F7" s="13">
        <v>0</v>
      </c>
      <c r="G7" s="14">
        <f>F7*E7</f>
        <v>0</v>
      </c>
      <c r="H7" s="15">
        <f>F7</f>
        <v>0</v>
      </c>
      <c r="I7" s="16">
        <f>H7*E7</f>
        <v>0</v>
      </c>
      <c r="J7" s="205" t="str">
        <f t="shared" ref="J7:K70" si="0">IFERROR(H7/L7-1,"-")</f>
        <v>-</v>
      </c>
      <c r="K7" s="206" t="str">
        <f t="shared" si="0"/>
        <v>-</v>
      </c>
      <c r="L7" s="84">
        <v>0</v>
      </c>
      <c r="M7" s="81"/>
      <c r="N7" s="19">
        <f t="shared" ref="N7:O38" si="1">IFERROR(H7/P7-1,"-")</f>
        <v>-1</v>
      </c>
      <c r="O7" s="87">
        <f t="shared" si="1"/>
        <v>-1</v>
      </c>
      <c r="P7" s="84">
        <f>3+5</f>
        <v>8</v>
      </c>
      <c r="Q7" s="81">
        <f>690+1210</f>
        <v>1900</v>
      </c>
      <c r="R7" s="184" t="s">
        <v>14</v>
      </c>
    </row>
    <row r="8" spans="1:18">
      <c r="A8" s="268"/>
      <c r="B8" s="259"/>
      <c r="C8" s="262"/>
      <c r="D8" s="214" t="s">
        <v>15</v>
      </c>
      <c r="E8" s="69">
        <v>180</v>
      </c>
      <c r="F8" s="12">
        <v>0</v>
      </c>
      <c r="G8" s="150">
        <v>0</v>
      </c>
      <c r="H8" s="10">
        <v>0</v>
      </c>
      <c r="I8" s="11">
        <f>H8*E8</f>
        <v>0</v>
      </c>
      <c r="J8" s="195">
        <f t="shared" si="0"/>
        <v>-1</v>
      </c>
      <c r="K8" s="196">
        <f t="shared" si="0"/>
        <v>-1</v>
      </c>
      <c r="L8" s="85">
        <v>1</v>
      </c>
      <c r="M8" s="82">
        <v>170</v>
      </c>
      <c r="N8" s="77" t="str">
        <f t="shared" si="1"/>
        <v>-</v>
      </c>
      <c r="O8" s="88" t="str">
        <f t="shared" si="1"/>
        <v>-</v>
      </c>
      <c r="P8" s="85">
        <v>0</v>
      </c>
      <c r="Q8" s="82">
        <v>0</v>
      </c>
      <c r="R8" s="185"/>
    </row>
    <row r="9" spans="1:18">
      <c r="A9" s="268"/>
      <c r="B9" s="259"/>
      <c r="C9" s="262"/>
      <c r="D9" s="214" t="s">
        <v>37</v>
      </c>
      <c r="E9" s="69">
        <v>420</v>
      </c>
      <c r="F9" s="12">
        <v>0</v>
      </c>
      <c r="G9" s="150">
        <f>F9*E9</f>
        <v>0</v>
      </c>
      <c r="H9" s="10">
        <v>0</v>
      </c>
      <c r="I9" s="11">
        <f>H9*E9</f>
        <v>0</v>
      </c>
      <c r="J9" s="195" t="str">
        <f t="shared" si="0"/>
        <v>-</v>
      </c>
      <c r="K9" s="196" t="str">
        <f t="shared" si="0"/>
        <v>-</v>
      </c>
      <c r="L9" s="85">
        <v>0</v>
      </c>
      <c r="M9" s="82">
        <v>0</v>
      </c>
      <c r="N9" s="77">
        <f t="shared" si="1"/>
        <v>-1</v>
      </c>
      <c r="O9" s="88">
        <f t="shared" si="1"/>
        <v>-1</v>
      </c>
      <c r="P9" s="85">
        <v>1</v>
      </c>
      <c r="Q9" s="82">
        <v>430</v>
      </c>
      <c r="R9" s="185"/>
    </row>
    <row r="10" spans="1:18">
      <c r="A10" s="268"/>
      <c r="B10" s="259"/>
      <c r="C10" s="263"/>
      <c r="D10" s="250" t="s">
        <v>16</v>
      </c>
      <c r="E10" s="251"/>
      <c r="F10" s="65">
        <f>SUM(F7:F9)</f>
        <v>0</v>
      </c>
      <c r="G10" s="151">
        <f>SUM(G7:G9)</f>
        <v>0</v>
      </c>
      <c r="H10" s="164">
        <f>SUM(H7:H9)</f>
        <v>0</v>
      </c>
      <c r="I10" s="165">
        <f>SUM(I7:I9)</f>
        <v>0</v>
      </c>
      <c r="J10" s="209">
        <f t="shared" si="0"/>
        <v>-1</v>
      </c>
      <c r="K10" s="210">
        <f t="shared" si="0"/>
        <v>-1</v>
      </c>
      <c r="L10" s="65">
        <f>SUM(L7:L9)</f>
        <v>1</v>
      </c>
      <c r="M10" s="74">
        <f>SUM(M7:M9)</f>
        <v>170</v>
      </c>
      <c r="N10" s="78">
        <f t="shared" si="1"/>
        <v>-1</v>
      </c>
      <c r="O10" s="89">
        <f t="shared" si="1"/>
        <v>-1</v>
      </c>
      <c r="P10" s="65">
        <f>SUM(P7:P9)</f>
        <v>9</v>
      </c>
      <c r="Q10" s="74">
        <f>SUM(Q7:Q9)</f>
        <v>2330</v>
      </c>
      <c r="R10" s="185"/>
    </row>
    <row r="11" spans="1:18">
      <c r="A11" s="268"/>
      <c r="B11" s="259"/>
      <c r="C11" s="261" t="s">
        <v>17</v>
      </c>
      <c r="D11" s="215" t="s">
        <v>18</v>
      </c>
      <c r="E11" s="70">
        <v>550</v>
      </c>
      <c r="F11" s="5">
        <v>0</v>
      </c>
      <c r="G11" s="6">
        <f>F11*E11</f>
        <v>0</v>
      </c>
      <c r="H11" s="7">
        <v>7</v>
      </c>
      <c r="I11" s="8">
        <f>H11*E11</f>
        <v>3850</v>
      </c>
      <c r="J11" s="197">
        <f>IFERROR(H11/L11-1,"-")</f>
        <v>-0.22222222222222221</v>
      </c>
      <c r="K11" s="198">
        <f t="shared" si="0"/>
        <v>-0.19287211740041932</v>
      </c>
      <c r="L11" s="86">
        <v>9</v>
      </c>
      <c r="M11" s="83">
        <v>4770</v>
      </c>
      <c r="N11" s="9">
        <f t="shared" si="1"/>
        <v>-0.65</v>
      </c>
      <c r="O11" s="90">
        <f t="shared" si="1"/>
        <v>-0.6367924528301887</v>
      </c>
      <c r="P11" s="86">
        <v>20</v>
      </c>
      <c r="Q11" s="83">
        <f>1060+9540</f>
        <v>10600</v>
      </c>
      <c r="R11" s="185"/>
    </row>
    <row r="12" spans="1:18">
      <c r="A12" s="268"/>
      <c r="B12" s="259"/>
      <c r="C12" s="262"/>
      <c r="D12" s="214" t="s">
        <v>19</v>
      </c>
      <c r="E12" s="69">
        <v>675</v>
      </c>
      <c r="F12" s="12">
        <v>1</v>
      </c>
      <c r="G12" s="150">
        <f>F12*E12</f>
        <v>675</v>
      </c>
      <c r="H12" s="10">
        <v>5</v>
      </c>
      <c r="I12" s="11">
        <f>H12*E12</f>
        <v>3375</v>
      </c>
      <c r="J12" s="195">
        <f t="shared" si="0"/>
        <v>-0.44444444444444442</v>
      </c>
      <c r="K12" s="196">
        <f t="shared" si="0"/>
        <v>-0.4140625</v>
      </c>
      <c r="L12" s="85">
        <v>9</v>
      </c>
      <c r="M12" s="82">
        <v>5760</v>
      </c>
      <c r="N12" s="77">
        <f t="shared" si="1"/>
        <v>-0.8214285714285714</v>
      </c>
      <c r="O12" s="88">
        <f t="shared" si="1"/>
        <v>-0.8046875</v>
      </c>
      <c r="P12" s="85">
        <v>28</v>
      </c>
      <c r="Q12" s="82">
        <f>9600+7680</f>
        <v>17280</v>
      </c>
      <c r="R12" s="185"/>
    </row>
    <row r="13" spans="1:18">
      <c r="A13" s="268"/>
      <c r="B13" s="259"/>
      <c r="C13" s="262"/>
      <c r="D13" s="214" t="s">
        <v>38</v>
      </c>
      <c r="E13" s="69">
        <v>810</v>
      </c>
      <c r="F13" s="12">
        <v>0</v>
      </c>
      <c r="G13" s="150">
        <f>F13*E13</f>
        <v>0</v>
      </c>
      <c r="H13" s="10">
        <v>3</v>
      </c>
      <c r="I13" s="11">
        <f>H13*E13</f>
        <v>2430</v>
      </c>
      <c r="J13" s="195" t="str">
        <f t="shared" si="0"/>
        <v>-</v>
      </c>
      <c r="K13" s="196" t="str">
        <f t="shared" si="0"/>
        <v>-</v>
      </c>
      <c r="L13" s="85">
        <v>0</v>
      </c>
      <c r="M13" s="82">
        <v>0</v>
      </c>
      <c r="N13" s="77" t="str">
        <f t="shared" si="1"/>
        <v>-</v>
      </c>
      <c r="O13" s="88" t="str">
        <f t="shared" si="1"/>
        <v>-</v>
      </c>
      <c r="P13" s="85">
        <v>0</v>
      </c>
      <c r="Q13" s="82">
        <v>0</v>
      </c>
      <c r="R13" s="185"/>
    </row>
    <row r="14" spans="1:18">
      <c r="A14" s="268"/>
      <c r="B14" s="259"/>
      <c r="C14" s="263"/>
      <c r="D14" s="250" t="s">
        <v>16</v>
      </c>
      <c r="E14" s="251"/>
      <c r="F14" s="65">
        <f>SUM(F11:F13)</f>
        <v>1</v>
      </c>
      <c r="G14" s="151">
        <f>SUM(G11:G13)</f>
        <v>675</v>
      </c>
      <c r="H14" s="164">
        <f>SUM(H11:H13)</f>
        <v>15</v>
      </c>
      <c r="I14" s="165">
        <f>SUM(I11:I13)</f>
        <v>9655</v>
      </c>
      <c r="J14" s="209">
        <f t="shared" si="0"/>
        <v>-0.16666666666666663</v>
      </c>
      <c r="K14" s="210">
        <f t="shared" si="0"/>
        <v>-8.3095916429249739E-2</v>
      </c>
      <c r="L14" s="65">
        <f>SUM(L11:L13)</f>
        <v>18</v>
      </c>
      <c r="M14" s="74">
        <f>SUM(M11:M13)</f>
        <v>10530</v>
      </c>
      <c r="N14" s="78">
        <f t="shared" si="1"/>
        <v>-0.6875</v>
      </c>
      <c r="O14" s="89">
        <f t="shared" si="1"/>
        <v>-0.65369440459110473</v>
      </c>
      <c r="P14" s="65">
        <f>SUM(P11:P13)</f>
        <v>48</v>
      </c>
      <c r="Q14" s="74">
        <f>SUM(Q11:Q13)</f>
        <v>27880</v>
      </c>
      <c r="R14" s="185"/>
    </row>
    <row r="15" spans="1:18">
      <c r="A15" s="268"/>
      <c r="B15" s="260"/>
      <c r="C15" s="255" t="s">
        <v>20</v>
      </c>
      <c r="D15" s="256"/>
      <c r="E15" s="257"/>
      <c r="F15" s="102">
        <f>SUM(F10,F14)</f>
        <v>1</v>
      </c>
      <c r="G15" s="159">
        <f>SUM(G10,G14)</f>
        <v>675</v>
      </c>
      <c r="H15" s="175">
        <f>H14+H10</f>
        <v>15</v>
      </c>
      <c r="I15" s="176">
        <f>I14+I10</f>
        <v>9655</v>
      </c>
      <c r="J15" s="211">
        <f t="shared" si="0"/>
        <v>-0.21052631578947367</v>
      </c>
      <c r="K15" s="212">
        <f t="shared" si="0"/>
        <v>-9.7663551401869109E-2</v>
      </c>
      <c r="L15" s="102">
        <f>L14+L10</f>
        <v>19</v>
      </c>
      <c r="M15" s="119">
        <f>M14+M10</f>
        <v>10700</v>
      </c>
      <c r="N15" s="122">
        <f t="shared" si="1"/>
        <v>-0.73684210526315796</v>
      </c>
      <c r="O15" s="126">
        <f t="shared" si="1"/>
        <v>-0.68040383978814956</v>
      </c>
      <c r="P15" s="102">
        <f>SUM(P10,P14)</f>
        <v>57</v>
      </c>
      <c r="Q15" s="119">
        <f>SUM(Q10,Q14)</f>
        <v>30210</v>
      </c>
      <c r="R15" s="191"/>
    </row>
    <row r="16" spans="1:18">
      <c r="A16" s="268"/>
      <c r="B16" s="258" t="s">
        <v>21</v>
      </c>
      <c r="C16" s="261" t="s">
        <v>12</v>
      </c>
      <c r="D16" s="215" t="s">
        <v>13</v>
      </c>
      <c r="E16" s="70">
        <v>190</v>
      </c>
      <c r="F16" s="5">
        <v>0</v>
      </c>
      <c r="G16" s="6">
        <f>F16*E16</f>
        <v>0</v>
      </c>
      <c r="H16" s="7">
        <v>0</v>
      </c>
      <c r="I16" s="8">
        <f>H16*E16</f>
        <v>0</v>
      </c>
      <c r="J16" s="197" t="str">
        <f t="shared" si="0"/>
        <v>-</v>
      </c>
      <c r="K16" s="198" t="str">
        <f t="shared" si="0"/>
        <v>-</v>
      </c>
      <c r="L16" s="86">
        <v>0</v>
      </c>
      <c r="M16" s="83">
        <v>0</v>
      </c>
      <c r="N16" s="9">
        <f t="shared" si="1"/>
        <v>-1</v>
      </c>
      <c r="O16" s="90">
        <f t="shared" si="1"/>
        <v>-1</v>
      </c>
      <c r="P16" s="86">
        <v>5</v>
      </c>
      <c r="Q16" s="83">
        <v>670</v>
      </c>
      <c r="R16" s="185" t="s">
        <v>22</v>
      </c>
    </row>
    <row r="17" spans="1:18">
      <c r="A17" s="268"/>
      <c r="B17" s="259"/>
      <c r="C17" s="262"/>
      <c r="D17" s="214" t="s">
        <v>15</v>
      </c>
      <c r="E17" s="69">
        <v>120</v>
      </c>
      <c r="F17" s="12">
        <v>0</v>
      </c>
      <c r="G17" s="150">
        <f>F17*E17</f>
        <v>0</v>
      </c>
      <c r="H17" s="10">
        <v>0</v>
      </c>
      <c r="I17" s="11">
        <f>H17*E17</f>
        <v>0</v>
      </c>
      <c r="J17" s="195" t="str">
        <f t="shared" si="0"/>
        <v>-</v>
      </c>
      <c r="K17" s="196" t="str">
        <f t="shared" si="0"/>
        <v>-</v>
      </c>
      <c r="L17" s="85">
        <v>0</v>
      </c>
      <c r="M17" s="82">
        <v>0</v>
      </c>
      <c r="N17" s="77">
        <f t="shared" si="1"/>
        <v>-1</v>
      </c>
      <c r="O17" s="88">
        <f t="shared" si="1"/>
        <v>-1</v>
      </c>
      <c r="P17" s="85">
        <v>3</v>
      </c>
      <c r="Q17" s="82">
        <v>430</v>
      </c>
      <c r="R17" s="185"/>
    </row>
    <row r="18" spans="1:18">
      <c r="A18" s="268"/>
      <c r="B18" s="259"/>
      <c r="C18" s="262"/>
      <c r="D18" s="214" t="s">
        <v>37</v>
      </c>
      <c r="E18" s="69">
        <v>300</v>
      </c>
      <c r="F18" s="12">
        <v>0</v>
      </c>
      <c r="G18" s="150">
        <f>F18*E18</f>
        <v>0</v>
      </c>
      <c r="H18" s="10">
        <v>0</v>
      </c>
      <c r="I18" s="11">
        <f>H18*E18</f>
        <v>0</v>
      </c>
      <c r="J18" s="195" t="str">
        <f t="shared" si="0"/>
        <v>-</v>
      </c>
      <c r="K18" s="196" t="str">
        <f t="shared" si="0"/>
        <v>-</v>
      </c>
      <c r="L18" s="85">
        <v>0</v>
      </c>
      <c r="M18" s="82">
        <v>0</v>
      </c>
      <c r="N18" s="77" t="str">
        <f t="shared" si="1"/>
        <v>-</v>
      </c>
      <c r="O18" s="88" t="str">
        <f t="shared" si="1"/>
        <v>-</v>
      </c>
      <c r="P18" s="85">
        <v>0</v>
      </c>
      <c r="Q18" s="82">
        <v>0</v>
      </c>
      <c r="R18" s="185" t="s">
        <v>23</v>
      </c>
    </row>
    <row r="19" spans="1:18">
      <c r="A19" s="268"/>
      <c r="B19" s="259"/>
      <c r="C19" s="263"/>
      <c r="D19" s="250" t="s">
        <v>16</v>
      </c>
      <c r="E19" s="251"/>
      <c r="F19" s="65">
        <f>SUM(F16:F18)</f>
        <v>0</v>
      </c>
      <c r="G19" s="151">
        <f>SUM(G16:G18)</f>
        <v>0</v>
      </c>
      <c r="H19" s="164">
        <f>SUM(H16:H18)</f>
        <v>0</v>
      </c>
      <c r="I19" s="165">
        <f>SUM(I16:I18)</f>
        <v>0</v>
      </c>
      <c r="J19" s="209" t="str">
        <f t="shared" si="0"/>
        <v>-</v>
      </c>
      <c r="K19" s="210" t="str">
        <f t="shared" si="0"/>
        <v>-</v>
      </c>
      <c r="L19" s="65">
        <f>SUM(L16:L18)</f>
        <v>0</v>
      </c>
      <c r="M19" s="74">
        <f>SUM(M16:M18)</f>
        <v>0</v>
      </c>
      <c r="N19" s="78">
        <f t="shared" si="1"/>
        <v>-1</v>
      </c>
      <c r="O19" s="89">
        <f t="shared" si="1"/>
        <v>-1</v>
      </c>
      <c r="P19" s="65">
        <f>SUM(P16:P18)</f>
        <v>8</v>
      </c>
      <c r="Q19" s="74">
        <f>SUM(Q16:Q18)</f>
        <v>1100</v>
      </c>
      <c r="R19" s="185" t="s">
        <v>24</v>
      </c>
    </row>
    <row r="20" spans="1:18">
      <c r="A20" s="268"/>
      <c r="B20" s="259"/>
      <c r="C20" s="261" t="s">
        <v>17</v>
      </c>
      <c r="D20" s="215" t="s">
        <v>18</v>
      </c>
      <c r="E20" s="70">
        <v>440</v>
      </c>
      <c r="F20" s="5">
        <v>1</v>
      </c>
      <c r="G20" s="6">
        <f>F20*E20</f>
        <v>440</v>
      </c>
      <c r="H20" s="7">
        <v>1</v>
      </c>
      <c r="I20" s="8">
        <f>H20*E20</f>
        <v>440</v>
      </c>
      <c r="J20" s="197">
        <f t="shared" si="0"/>
        <v>-0.66666666666666674</v>
      </c>
      <c r="K20" s="198">
        <f t="shared" si="0"/>
        <v>-0.66666666666666674</v>
      </c>
      <c r="L20" s="86">
        <v>3</v>
      </c>
      <c r="M20" s="83">
        <v>1320</v>
      </c>
      <c r="N20" s="9">
        <f t="shared" si="1"/>
        <v>-0.94117647058823528</v>
      </c>
      <c r="O20" s="90">
        <f t="shared" si="1"/>
        <v>-0.94117647058823528</v>
      </c>
      <c r="P20" s="86">
        <f>16+1</f>
        <v>17</v>
      </c>
      <c r="Q20" s="83">
        <f>1320+5720+440</f>
        <v>7480</v>
      </c>
      <c r="R20" s="185" t="s">
        <v>25</v>
      </c>
    </row>
    <row r="21" spans="1:18">
      <c r="A21" s="268"/>
      <c r="B21" s="259"/>
      <c r="C21" s="262"/>
      <c r="D21" s="214" t="s">
        <v>19</v>
      </c>
      <c r="E21" s="69">
        <v>520</v>
      </c>
      <c r="F21" s="12">
        <v>0</v>
      </c>
      <c r="G21" s="150">
        <f>F21*E21</f>
        <v>0</v>
      </c>
      <c r="H21" s="10">
        <v>2</v>
      </c>
      <c r="I21" s="11">
        <f>H21*E21</f>
        <v>1040</v>
      </c>
      <c r="J21" s="195">
        <f t="shared" si="0"/>
        <v>-0.6</v>
      </c>
      <c r="K21" s="196">
        <f t="shared" si="0"/>
        <v>-0.6</v>
      </c>
      <c r="L21" s="85">
        <v>5</v>
      </c>
      <c r="M21" s="82">
        <v>2600</v>
      </c>
      <c r="N21" s="77">
        <f t="shared" si="1"/>
        <v>-0.84615384615384615</v>
      </c>
      <c r="O21" s="88">
        <f t="shared" si="1"/>
        <v>-0.84615384615384615</v>
      </c>
      <c r="P21" s="85">
        <f>9+4</f>
        <v>13</v>
      </c>
      <c r="Q21" s="82">
        <f>1560+3120+2080</f>
        <v>6760</v>
      </c>
      <c r="R21" s="185"/>
    </row>
    <row r="22" spans="1:18">
      <c r="A22" s="268"/>
      <c r="B22" s="259"/>
      <c r="C22" s="262"/>
      <c r="D22" s="214" t="s">
        <v>38</v>
      </c>
      <c r="E22" s="69">
        <v>600</v>
      </c>
      <c r="F22" s="12">
        <v>0</v>
      </c>
      <c r="G22" s="150">
        <f>F22*E22</f>
        <v>0</v>
      </c>
      <c r="H22" s="10">
        <v>0</v>
      </c>
      <c r="I22" s="11">
        <f>H22*E22</f>
        <v>0</v>
      </c>
      <c r="J22" s="195" t="str">
        <f t="shared" si="0"/>
        <v>-</v>
      </c>
      <c r="K22" s="196" t="str">
        <f t="shared" si="0"/>
        <v>-</v>
      </c>
      <c r="L22" s="85">
        <v>0</v>
      </c>
      <c r="M22" s="82">
        <v>0</v>
      </c>
      <c r="N22" s="77" t="str">
        <f t="shared" si="1"/>
        <v>-</v>
      </c>
      <c r="O22" s="88" t="str">
        <f t="shared" si="1"/>
        <v>-</v>
      </c>
      <c r="P22" s="85">
        <v>0</v>
      </c>
      <c r="Q22" s="82">
        <v>0</v>
      </c>
      <c r="R22" s="185"/>
    </row>
    <row r="23" spans="1:18">
      <c r="A23" s="268"/>
      <c r="B23" s="259"/>
      <c r="C23" s="263"/>
      <c r="D23" s="250" t="s">
        <v>16</v>
      </c>
      <c r="E23" s="251"/>
      <c r="F23" s="65">
        <f>SUM(F20:F22)</f>
        <v>1</v>
      </c>
      <c r="G23" s="151">
        <f>SUM(G20:G22)</f>
        <v>440</v>
      </c>
      <c r="H23" s="164">
        <f>SUM(H20:H22)</f>
        <v>3</v>
      </c>
      <c r="I23" s="165">
        <f>SUM(I20:I22)</f>
        <v>1480</v>
      </c>
      <c r="J23" s="209">
        <f t="shared" si="0"/>
        <v>-0.625</v>
      </c>
      <c r="K23" s="210">
        <f t="shared" si="0"/>
        <v>-0.62244897959183676</v>
      </c>
      <c r="L23" s="65">
        <f>SUM(L20:L22)</f>
        <v>8</v>
      </c>
      <c r="M23" s="74">
        <f>SUM(M20:M22)</f>
        <v>3920</v>
      </c>
      <c r="N23" s="78">
        <f t="shared" si="1"/>
        <v>-0.9</v>
      </c>
      <c r="O23" s="89">
        <f t="shared" si="1"/>
        <v>-0.8960674157303371</v>
      </c>
      <c r="P23" s="65">
        <f>SUM(P20:P22)</f>
        <v>30</v>
      </c>
      <c r="Q23" s="74">
        <f>SUM(Q20:Q22)</f>
        <v>14240</v>
      </c>
      <c r="R23" s="185"/>
    </row>
    <row r="24" spans="1:18">
      <c r="A24" s="268"/>
      <c r="B24" s="260"/>
      <c r="C24" s="255" t="s">
        <v>20</v>
      </c>
      <c r="D24" s="256"/>
      <c r="E24" s="257"/>
      <c r="F24" s="102">
        <f>SUM(F19,F23)</f>
        <v>1</v>
      </c>
      <c r="G24" s="159">
        <f>SUM(G19,G23)</f>
        <v>440</v>
      </c>
      <c r="H24" s="175">
        <f>H23+H19</f>
        <v>3</v>
      </c>
      <c r="I24" s="176">
        <f>I23+I19</f>
        <v>1480</v>
      </c>
      <c r="J24" s="211">
        <f t="shared" si="0"/>
        <v>-0.625</v>
      </c>
      <c r="K24" s="212">
        <f t="shared" si="0"/>
        <v>-0.62244897959183676</v>
      </c>
      <c r="L24" s="102">
        <f>L23+L19</f>
        <v>8</v>
      </c>
      <c r="M24" s="119">
        <f>M23+M19</f>
        <v>3920</v>
      </c>
      <c r="N24" s="122">
        <f t="shared" si="1"/>
        <v>-0.92105263157894735</v>
      </c>
      <c r="O24" s="126">
        <f t="shared" si="1"/>
        <v>-0.90352020860495441</v>
      </c>
      <c r="P24" s="102">
        <f>SUM(P19,P23)</f>
        <v>38</v>
      </c>
      <c r="Q24" s="119">
        <f>SUM(Q19,Q23)</f>
        <v>15340</v>
      </c>
      <c r="R24" s="191"/>
    </row>
    <row r="25" spans="1:18">
      <c r="A25" s="268"/>
      <c r="B25" s="258" t="s">
        <v>26</v>
      </c>
      <c r="C25" s="261" t="s">
        <v>12</v>
      </c>
      <c r="D25" s="215" t="s">
        <v>13</v>
      </c>
      <c r="E25" s="70">
        <v>190</v>
      </c>
      <c r="F25" s="5">
        <v>0</v>
      </c>
      <c r="G25" s="6">
        <f>F25*E25</f>
        <v>0</v>
      </c>
      <c r="H25" s="7">
        <v>1</v>
      </c>
      <c r="I25" s="8">
        <f>H25*E25</f>
        <v>190</v>
      </c>
      <c r="J25" s="197">
        <f t="shared" si="0"/>
        <v>-0.88888888888888884</v>
      </c>
      <c r="K25" s="198">
        <f t="shared" si="0"/>
        <v>-0.88888888888888884</v>
      </c>
      <c r="L25" s="86">
        <v>9</v>
      </c>
      <c r="M25" s="83">
        <v>1710</v>
      </c>
      <c r="N25" s="9">
        <f t="shared" si="1"/>
        <v>-0.94736842105263164</v>
      </c>
      <c r="O25" s="90">
        <f t="shared" si="1"/>
        <v>-0.93470790378006874</v>
      </c>
      <c r="P25" s="86">
        <v>19</v>
      </c>
      <c r="Q25" s="83">
        <v>2910</v>
      </c>
      <c r="R25" s="185" t="s">
        <v>22</v>
      </c>
    </row>
    <row r="26" spans="1:18">
      <c r="A26" s="268"/>
      <c r="B26" s="259"/>
      <c r="C26" s="262"/>
      <c r="D26" s="214" t="s">
        <v>15</v>
      </c>
      <c r="E26" s="69">
        <v>120</v>
      </c>
      <c r="F26" s="12">
        <v>0</v>
      </c>
      <c r="G26" s="150">
        <f>F26*E26</f>
        <v>0</v>
      </c>
      <c r="H26" s="10">
        <v>3</v>
      </c>
      <c r="I26" s="11">
        <f>H26*E26</f>
        <v>360</v>
      </c>
      <c r="J26" s="195">
        <f t="shared" si="0"/>
        <v>-0.25</v>
      </c>
      <c r="K26" s="196">
        <f t="shared" si="0"/>
        <v>-0.25</v>
      </c>
      <c r="L26" s="85">
        <v>4</v>
      </c>
      <c r="M26" s="82">
        <v>480</v>
      </c>
      <c r="N26" s="77" t="str">
        <f t="shared" si="1"/>
        <v>-</v>
      </c>
      <c r="O26" s="88" t="str">
        <f t="shared" si="1"/>
        <v>-</v>
      </c>
      <c r="P26" s="85">
        <v>0</v>
      </c>
      <c r="Q26" s="82">
        <v>0</v>
      </c>
      <c r="R26" s="185"/>
    </row>
    <row r="27" spans="1:18">
      <c r="A27" s="268"/>
      <c r="B27" s="259"/>
      <c r="C27" s="262"/>
      <c r="D27" s="214" t="s">
        <v>37</v>
      </c>
      <c r="E27" s="69">
        <v>300</v>
      </c>
      <c r="F27" s="12">
        <v>0</v>
      </c>
      <c r="G27" s="150">
        <f>F27*E27</f>
        <v>0</v>
      </c>
      <c r="H27" s="10">
        <v>5</v>
      </c>
      <c r="I27" s="11">
        <f>H27*E27</f>
        <v>1500</v>
      </c>
      <c r="J27" s="195" t="str">
        <f t="shared" si="0"/>
        <v>-</v>
      </c>
      <c r="K27" s="196" t="str">
        <f t="shared" si="0"/>
        <v>-</v>
      </c>
      <c r="L27" s="85">
        <v>0</v>
      </c>
      <c r="M27" s="82">
        <v>0</v>
      </c>
      <c r="N27" s="77">
        <f t="shared" si="1"/>
        <v>-0.2857142857142857</v>
      </c>
      <c r="O27" s="88">
        <f t="shared" si="1"/>
        <v>-0.30875576036866359</v>
      </c>
      <c r="P27" s="85">
        <v>7</v>
      </c>
      <c r="Q27" s="82">
        <v>2170</v>
      </c>
      <c r="R27" s="185" t="s">
        <v>27</v>
      </c>
    </row>
    <row r="28" spans="1:18">
      <c r="A28" s="268"/>
      <c r="B28" s="259"/>
      <c r="C28" s="263"/>
      <c r="D28" s="250" t="s">
        <v>16</v>
      </c>
      <c r="E28" s="251"/>
      <c r="F28" s="65">
        <f>SUM(F25:F27)</f>
        <v>0</v>
      </c>
      <c r="G28" s="151">
        <f>SUM(G25:G27)</f>
        <v>0</v>
      </c>
      <c r="H28" s="164">
        <f>SUM(H25:H27)</f>
        <v>9</v>
      </c>
      <c r="I28" s="165">
        <f>SUM(I25:I27)</f>
        <v>2050</v>
      </c>
      <c r="J28" s="209">
        <f t="shared" si="0"/>
        <v>-0.30769230769230771</v>
      </c>
      <c r="K28" s="210">
        <f t="shared" si="0"/>
        <v>-6.3926940639269403E-2</v>
      </c>
      <c r="L28" s="65">
        <f>SUM(L25:L27)</f>
        <v>13</v>
      </c>
      <c r="M28" s="74">
        <f>SUM(M25:M27)</f>
        <v>2190</v>
      </c>
      <c r="N28" s="78">
        <f t="shared" si="1"/>
        <v>-0.65384615384615385</v>
      </c>
      <c r="O28" s="89">
        <f t="shared" si="1"/>
        <v>-0.59645669291338588</v>
      </c>
      <c r="P28" s="65">
        <f>SUM(P25:P27)</f>
        <v>26</v>
      </c>
      <c r="Q28" s="74">
        <f>SUM(Q25:Q27)</f>
        <v>5080</v>
      </c>
      <c r="R28" s="185"/>
    </row>
    <row r="29" spans="1:18">
      <c r="A29" s="268"/>
      <c r="B29" s="259"/>
      <c r="C29" s="261" t="s">
        <v>17</v>
      </c>
      <c r="D29" s="215" t="s">
        <v>18</v>
      </c>
      <c r="E29" s="70">
        <v>440</v>
      </c>
      <c r="F29" s="5"/>
      <c r="G29" s="6">
        <f>F29*E29</f>
        <v>0</v>
      </c>
      <c r="H29" s="7">
        <v>29</v>
      </c>
      <c r="I29" s="8">
        <f>H29*E29</f>
        <v>12760</v>
      </c>
      <c r="J29" s="197">
        <f t="shared" si="0"/>
        <v>0</v>
      </c>
      <c r="K29" s="198">
        <f t="shared" si="0"/>
        <v>0</v>
      </c>
      <c r="L29" s="86">
        <v>29</v>
      </c>
      <c r="M29" s="83">
        <v>12760</v>
      </c>
      <c r="N29" s="9">
        <f t="shared" si="1"/>
        <v>-0.46296296296296291</v>
      </c>
      <c r="O29" s="90">
        <f t="shared" si="1"/>
        <v>-0.46296296296296291</v>
      </c>
      <c r="P29" s="86">
        <v>54</v>
      </c>
      <c r="Q29" s="83">
        <v>23760</v>
      </c>
      <c r="R29" s="185"/>
    </row>
    <row r="30" spans="1:18">
      <c r="A30" s="268"/>
      <c r="B30" s="259"/>
      <c r="C30" s="262"/>
      <c r="D30" s="214" t="s">
        <v>19</v>
      </c>
      <c r="E30" s="69">
        <v>520</v>
      </c>
      <c r="F30" s="12">
        <v>1</v>
      </c>
      <c r="G30" s="150">
        <f>F30*E30</f>
        <v>520</v>
      </c>
      <c r="H30" s="10">
        <v>14</v>
      </c>
      <c r="I30" s="11">
        <f>H30*E30</f>
        <v>7280</v>
      </c>
      <c r="J30" s="195">
        <f t="shared" si="0"/>
        <v>-0.51724137931034475</v>
      </c>
      <c r="K30" s="196">
        <f t="shared" si="0"/>
        <v>-0.51724137931034475</v>
      </c>
      <c r="L30" s="85">
        <v>29</v>
      </c>
      <c r="M30" s="82">
        <v>15080</v>
      </c>
      <c r="N30" s="77">
        <f t="shared" si="1"/>
        <v>-0.65853658536585358</v>
      </c>
      <c r="O30" s="88">
        <f t="shared" si="1"/>
        <v>-0.66666666666666674</v>
      </c>
      <c r="P30" s="85">
        <v>41</v>
      </c>
      <c r="Q30" s="82">
        <v>21840</v>
      </c>
      <c r="R30" s="185"/>
    </row>
    <row r="31" spans="1:18">
      <c r="A31" s="268"/>
      <c r="B31" s="259"/>
      <c r="C31" s="262"/>
      <c r="D31" s="214" t="s">
        <v>38</v>
      </c>
      <c r="E31" s="69">
        <v>600</v>
      </c>
      <c r="F31" s="12">
        <v>1</v>
      </c>
      <c r="G31" s="150">
        <f>F31*E31</f>
        <v>600</v>
      </c>
      <c r="H31" s="10">
        <v>6</v>
      </c>
      <c r="I31" s="11">
        <f>H31*E31</f>
        <v>3600</v>
      </c>
      <c r="J31" s="195" t="str">
        <f t="shared" si="0"/>
        <v>-</v>
      </c>
      <c r="K31" s="196" t="str">
        <f t="shared" si="0"/>
        <v>-</v>
      </c>
      <c r="L31" s="85">
        <v>0</v>
      </c>
      <c r="M31" s="82">
        <v>0</v>
      </c>
      <c r="N31" s="77" t="str">
        <f t="shared" si="1"/>
        <v>-</v>
      </c>
      <c r="O31" s="88" t="str">
        <f t="shared" si="1"/>
        <v>-</v>
      </c>
      <c r="P31" s="85">
        <v>0</v>
      </c>
      <c r="Q31" s="82">
        <v>0</v>
      </c>
      <c r="R31" s="185"/>
    </row>
    <row r="32" spans="1:18">
      <c r="A32" s="268"/>
      <c r="B32" s="259"/>
      <c r="C32" s="263"/>
      <c r="D32" s="250" t="s">
        <v>16</v>
      </c>
      <c r="E32" s="251"/>
      <c r="F32" s="65">
        <f>SUM(F29:F31)</f>
        <v>2</v>
      </c>
      <c r="G32" s="151">
        <f>SUM(G29:G31)</f>
        <v>1120</v>
      </c>
      <c r="H32" s="164">
        <f>SUM(H29:H31)</f>
        <v>49</v>
      </c>
      <c r="I32" s="165">
        <f>SUM(I29:I31)</f>
        <v>23640</v>
      </c>
      <c r="J32" s="209">
        <f t="shared" si="0"/>
        <v>-0.15517241379310343</v>
      </c>
      <c r="K32" s="210">
        <f t="shared" si="0"/>
        <v>-0.15086206896551724</v>
      </c>
      <c r="L32" s="65">
        <f>SUM(L29:L31)</f>
        <v>58</v>
      </c>
      <c r="M32" s="74">
        <f>SUM(M29:M31)</f>
        <v>27840</v>
      </c>
      <c r="N32" s="78">
        <f t="shared" si="1"/>
        <v>-0.48421052631578942</v>
      </c>
      <c r="O32" s="89">
        <f t="shared" si="1"/>
        <v>-0.48157894736842111</v>
      </c>
      <c r="P32" s="65">
        <f>SUM(P29:P31)</f>
        <v>95</v>
      </c>
      <c r="Q32" s="74">
        <f>SUM(Q29:Q31)</f>
        <v>45600</v>
      </c>
      <c r="R32" s="185"/>
    </row>
    <row r="33" spans="1:18">
      <c r="A33" s="269"/>
      <c r="B33" s="260"/>
      <c r="C33" s="255" t="s">
        <v>20</v>
      </c>
      <c r="D33" s="256"/>
      <c r="E33" s="257"/>
      <c r="F33" s="102">
        <f>SUM(F28,F32)</f>
        <v>2</v>
      </c>
      <c r="G33" s="159">
        <f>SUM(G28,G32)</f>
        <v>1120</v>
      </c>
      <c r="H33" s="175">
        <f>H32+H28</f>
        <v>58</v>
      </c>
      <c r="I33" s="176">
        <f>I32+I28</f>
        <v>25690</v>
      </c>
      <c r="J33" s="211">
        <f t="shared" si="0"/>
        <v>-0.18309859154929575</v>
      </c>
      <c r="K33" s="212">
        <f t="shared" si="0"/>
        <v>-0.14452214452214451</v>
      </c>
      <c r="L33" s="102">
        <f>L32+L28</f>
        <v>71</v>
      </c>
      <c r="M33" s="119">
        <f>M32+M28</f>
        <v>30030</v>
      </c>
      <c r="N33" s="122">
        <f t="shared" si="1"/>
        <v>-0.52066115702479343</v>
      </c>
      <c r="O33" s="126">
        <f t="shared" si="1"/>
        <v>-0.49309392265193375</v>
      </c>
      <c r="P33" s="102">
        <f>SUM(P28,P32)</f>
        <v>121</v>
      </c>
      <c r="Q33" s="119">
        <f>SUM(Q28,Q32)</f>
        <v>50680</v>
      </c>
      <c r="R33" s="191"/>
    </row>
    <row r="34" spans="1:18">
      <c r="A34" s="239" t="s">
        <v>28</v>
      </c>
      <c r="B34" s="240"/>
      <c r="C34" s="240"/>
      <c r="D34" s="240"/>
      <c r="E34" s="241"/>
      <c r="F34" s="97">
        <f>F15+F24+F33</f>
        <v>4</v>
      </c>
      <c r="G34" s="158">
        <f>G15+G24+G33</f>
        <v>2235</v>
      </c>
      <c r="H34" s="173">
        <f>H15+H24+H33</f>
        <v>76</v>
      </c>
      <c r="I34" s="174">
        <f>I15+I24+I33</f>
        <v>36825</v>
      </c>
      <c r="J34" s="207">
        <f t="shared" si="0"/>
        <v>-0.22448979591836737</v>
      </c>
      <c r="K34" s="208">
        <f t="shared" si="0"/>
        <v>-0.17525195968645013</v>
      </c>
      <c r="L34" s="97">
        <f>L15+L24+L33</f>
        <v>98</v>
      </c>
      <c r="M34" s="118">
        <f>M15+M24+M33</f>
        <v>44650</v>
      </c>
      <c r="N34" s="121">
        <f t="shared" si="1"/>
        <v>-0.64814814814814814</v>
      </c>
      <c r="O34" s="125">
        <f t="shared" si="1"/>
        <v>-0.61732308012054449</v>
      </c>
      <c r="P34" s="97">
        <f>P33+P24+P15</f>
        <v>216</v>
      </c>
      <c r="Q34" s="118">
        <f>Q33+Q24+Q15</f>
        <v>96230</v>
      </c>
      <c r="R34" s="185"/>
    </row>
    <row r="35" spans="1:18">
      <c r="A35" s="273" t="s">
        <v>46</v>
      </c>
      <c r="B35" s="276" t="s">
        <v>29</v>
      </c>
      <c r="C35" s="278" t="s">
        <v>30</v>
      </c>
      <c r="D35" s="193" t="s">
        <v>19</v>
      </c>
      <c r="E35" s="104">
        <v>990</v>
      </c>
      <c r="F35" s="98">
        <v>1</v>
      </c>
      <c r="G35" s="154">
        <f>F35*E35</f>
        <v>990</v>
      </c>
      <c r="H35" s="17">
        <v>16</v>
      </c>
      <c r="I35" s="18">
        <f>H35*E35</f>
        <v>15840</v>
      </c>
      <c r="J35" s="205">
        <f t="shared" si="0"/>
        <v>3</v>
      </c>
      <c r="K35" s="206">
        <f t="shared" si="0"/>
        <v>2.2999999999999998</v>
      </c>
      <c r="L35" s="98">
        <v>4</v>
      </c>
      <c r="M35" s="114">
        <v>4800</v>
      </c>
      <c r="N35" s="19">
        <f t="shared" si="1"/>
        <v>0.60000000000000009</v>
      </c>
      <c r="O35" s="87">
        <f t="shared" si="1"/>
        <v>0.10000000000000009</v>
      </c>
      <c r="P35" s="98">
        <v>10</v>
      </c>
      <c r="Q35" s="114">
        <v>14400</v>
      </c>
      <c r="R35" s="186"/>
    </row>
    <row r="36" spans="1:18">
      <c r="A36" s="274"/>
      <c r="B36" s="277"/>
      <c r="C36" s="279"/>
      <c r="D36" s="280" t="s">
        <v>16</v>
      </c>
      <c r="E36" s="281"/>
      <c r="F36" s="99">
        <f>F35</f>
        <v>1</v>
      </c>
      <c r="G36" s="155">
        <f>G35</f>
        <v>990</v>
      </c>
      <c r="H36" s="170">
        <f>H35</f>
        <v>16</v>
      </c>
      <c r="I36" s="171">
        <f>I35</f>
        <v>15840</v>
      </c>
      <c r="J36" s="209">
        <f t="shared" si="0"/>
        <v>3</v>
      </c>
      <c r="K36" s="210">
        <f t="shared" si="0"/>
        <v>2.2999999999999998</v>
      </c>
      <c r="L36" s="99">
        <f>L35</f>
        <v>4</v>
      </c>
      <c r="M36" s="115">
        <f>M35</f>
        <v>4800</v>
      </c>
      <c r="N36" s="78">
        <f t="shared" si="1"/>
        <v>0.60000000000000009</v>
      </c>
      <c r="O36" s="89">
        <f t="shared" si="1"/>
        <v>0.10000000000000009</v>
      </c>
      <c r="P36" s="99">
        <f>SUM(P35)</f>
        <v>10</v>
      </c>
      <c r="Q36" s="115">
        <f>SUM(Q35)</f>
        <v>14400</v>
      </c>
      <c r="R36" s="186"/>
    </row>
    <row r="37" spans="1:18" ht="16.5" hidden="1" customHeight="1">
      <c r="A37" s="274"/>
      <c r="B37" s="278" t="s">
        <v>31</v>
      </c>
      <c r="C37" s="273" t="s">
        <v>32</v>
      </c>
      <c r="D37" s="217" t="s">
        <v>33</v>
      </c>
      <c r="E37" s="106">
        <v>50</v>
      </c>
      <c r="F37" s="100"/>
      <c r="G37" s="156"/>
      <c r="H37" s="21"/>
      <c r="I37" s="28"/>
      <c r="J37" s="197" t="str">
        <f t="shared" si="0"/>
        <v>-</v>
      </c>
      <c r="K37" s="198" t="str">
        <f t="shared" si="0"/>
        <v>-</v>
      </c>
      <c r="L37" s="100"/>
      <c r="M37" s="116"/>
      <c r="N37" s="9">
        <f t="shared" si="1"/>
        <v>-1</v>
      </c>
      <c r="O37" s="90">
        <f t="shared" si="1"/>
        <v>-1</v>
      </c>
      <c r="P37" s="100">
        <v>6</v>
      </c>
      <c r="Q37" s="116">
        <v>300</v>
      </c>
      <c r="R37" s="186"/>
    </row>
    <row r="38" spans="1:18" ht="16.5" hidden="1" customHeight="1">
      <c r="A38" s="274"/>
      <c r="B38" s="282"/>
      <c r="C38" s="274"/>
      <c r="D38" s="218" t="s">
        <v>34</v>
      </c>
      <c r="E38" s="107">
        <v>100</v>
      </c>
      <c r="F38" s="101"/>
      <c r="G38" s="157"/>
      <c r="H38" s="20"/>
      <c r="I38" s="172"/>
      <c r="J38" s="195" t="str">
        <f t="shared" si="0"/>
        <v>-</v>
      </c>
      <c r="K38" s="196" t="str">
        <f t="shared" si="0"/>
        <v>-</v>
      </c>
      <c r="L38" s="101"/>
      <c r="M38" s="117"/>
      <c r="N38" s="77">
        <f t="shared" si="1"/>
        <v>-1</v>
      </c>
      <c r="O38" s="88">
        <f t="shared" si="1"/>
        <v>-1</v>
      </c>
      <c r="P38" s="101">
        <v>3</v>
      </c>
      <c r="Q38" s="117">
        <v>300</v>
      </c>
      <c r="R38" s="186"/>
    </row>
    <row r="39" spans="1:18" ht="16.5" hidden="1" customHeight="1">
      <c r="A39" s="274"/>
      <c r="B39" s="282"/>
      <c r="C39" s="274"/>
      <c r="D39" s="218" t="s">
        <v>18</v>
      </c>
      <c r="E39" s="107">
        <v>150</v>
      </c>
      <c r="F39" s="101"/>
      <c r="G39" s="157"/>
      <c r="H39" s="20"/>
      <c r="I39" s="172"/>
      <c r="J39" s="195" t="str">
        <f t="shared" si="0"/>
        <v>-</v>
      </c>
      <c r="K39" s="196" t="str">
        <f t="shared" si="0"/>
        <v>-</v>
      </c>
      <c r="L39" s="101"/>
      <c r="M39" s="117"/>
      <c r="N39" s="77">
        <f t="shared" ref="N39:O70" si="2">IFERROR(H39/P39-1,"-")</f>
        <v>-1</v>
      </c>
      <c r="O39" s="88">
        <f t="shared" si="2"/>
        <v>-1</v>
      </c>
      <c r="P39" s="101">
        <v>1</v>
      </c>
      <c r="Q39" s="117">
        <v>150</v>
      </c>
      <c r="R39" s="186"/>
    </row>
    <row r="40" spans="1:18" ht="16.5" hidden="1" customHeight="1">
      <c r="A40" s="274"/>
      <c r="B40" s="282"/>
      <c r="C40" s="274"/>
      <c r="D40" s="218" t="s">
        <v>19</v>
      </c>
      <c r="E40" s="107">
        <v>200</v>
      </c>
      <c r="F40" s="101"/>
      <c r="G40" s="157"/>
      <c r="H40" s="20"/>
      <c r="I40" s="172"/>
      <c r="J40" s="195" t="str">
        <f t="shared" si="0"/>
        <v>-</v>
      </c>
      <c r="K40" s="196" t="str">
        <f t="shared" si="0"/>
        <v>-</v>
      </c>
      <c r="L40" s="101"/>
      <c r="M40" s="117"/>
      <c r="N40" s="77">
        <f t="shared" si="2"/>
        <v>-1</v>
      </c>
      <c r="O40" s="88">
        <f t="shared" si="2"/>
        <v>-1</v>
      </c>
      <c r="P40" s="101">
        <v>1</v>
      </c>
      <c r="Q40" s="117">
        <v>200</v>
      </c>
      <c r="R40" s="186"/>
    </row>
    <row r="41" spans="1:18" ht="16.5" hidden="1" customHeight="1">
      <c r="A41" s="274"/>
      <c r="B41" s="282"/>
      <c r="C41" s="274"/>
      <c r="D41" s="218" t="s">
        <v>38</v>
      </c>
      <c r="E41" s="107">
        <v>250</v>
      </c>
      <c r="F41" s="101"/>
      <c r="G41" s="157"/>
      <c r="H41" s="20"/>
      <c r="I41" s="172"/>
      <c r="J41" s="195" t="str">
        <f t="shared" si="0"/>
        <v>-</v>
      </c>
      <c r="K41" s="196" t="str">
        <f t="shared" si="0"/>
        <v>-</v>
      </c>
      <c r="L41" s="101"/>
      <c r="M41" s="117"/>
      <c r="N41" s="77" t="str">
        <f t="shared" si="2"/>
        <v>-</v>
      </c>
      <c r="O41" s="88" t="str">
        <f t="shared" si="2"/>
        <v>-</v>
      </c>
      <c r="P41" s="101">
        <v>0</v>
      </c>
      <c r="Q41" s="117">
        <v>0</v>
      </c>
      <c r="R41" s="186"/>
    </row>
    <row r="42" spans="1:18" ht="16.5" hidden="1" customHeight="1">
      <c r="A42" s="275"/>
      <c r="B42" s="283"/>
      <c r="C42" s="275"/>
      <c r="D42" s="216" t="s">
        <v>16</v>
      </c>
      <c r="E42" s="105">
        <v>0</v>
      </c>
      <c r="F42" s="99"/>
      <c r="G42" s="155"/>
      <c r="H42" s="170"/>
      <c r="I42" s="171"/>
      <c r="J42" s="209" t="str">
        <f t="shared" si="0"/>
        <v>-</v>
      </c>
      <c r="K42" s="210" t="str">
        <f t="shared" si="0"/>
        <v>-</v>
      </c>
      <c r="L42" s="99"/>
      <c r="M42" s="115"/>
      <c r="N42" s="78">
        <f t="shared" si="2"/>
        <v>-1</v>
      </c>
      <c r="O42" s="89">
        <f t="shared" si="2"/>
        <v>-1</v>
      </c>
      <c r="P42" s="99">
        <f>SUM(P37:P41)</f>
        <v>11</v>
      </c>
      <c r="Q42" s="115">
        <f>SUM(Q37:Q41)</f>
        <v>950</v>
      </c>
      <c r="R42" s="192"/>
    </row>
    <row r="43" spans="1:18">
      <c r="A43" s="264" t="s">
        <v>47</v>
      </c>
      <c r="B43" s="265"/>
      <c r="C43" s="265"/>
      <c r="D43" s="265"/>
      <c r="E43" s="266"/>
      <c r="F43" s="97">
        <f>F42+F36</f>
        <v>1</v>
      </c>
      <c r="G43" s="158">
        <f>G42+G36</f>
        <v>990</v>
      </c>
      <c r="H43" s="173">
        <f>H42+H36</f>
        <v>16</v>
      </c>
      <c r="I43" s="174">
        <f>I42+I36</f>
        <v>15840</v>
      </c>
      <c r="J43" s="207">
        <f t="shared" si="0"/>
        <v>3</v>
      </c>
      <c r="K43" s="208">
        <f t="shared" si="0"/>
        <v>2.2999999999999998</v>
      </c>
      <c r="L43" s="97">
        <f>L42+L36</f>
        <v>4</v>
      </c>
      <c r="M43" s="118">
        <f>M42+M36</f>
        <v>4800</v>
      </c>
      <c r="N43" s="121">
        <f t="shared" si="2"/>
        <v>-0.23809523809523814</v>
      </c>
      <c r="O43" s="125">
        <f t="shared" si="2"/>
        <v>3.1921824104234497E-2</v>
      </c>
      <c r="P43" s="97">
        <f>P42+P36</f>
        <v>21</v>
      </c>
      <c r="Q43" s="118">
        <f>Q42+Q36</f>
        <v>15350</v>
      </c>
      <c r="R43" s="186"/>
    </row>
    <row r="44" spans="1:18" ht="16.5" hidden="1" customHeight="1">
      <c r="A44" s="267" t="s">
        <v>48</v>
      </c>
      <c r="B44" s="258" t="s">
        <v>11</v>
      </c>
      <c r="C44" s="261" t="s">
        <v>12</v>
      </c>
      <c r="D44" s="213" t="s">
        <v>13</v>
      </c>
      <c r="E44" s="68">
        <v>275</v>
      </c>
      <c r="F44" s="13">
        <v>0</v>
      </c>
      <c r="G44" s="14">
        <f>F44*E44</f>
        <v>0</v>
      </c>
      <c r="H44" s="15">
        <f>F44</f>
        <v>0</v>
      </c>
      <c r="I44" s="16">
        <f>H44*E44</f>
        <v>0</v>
      </c>
      <c r="J44" s="205" t="str">
        <f t="shared" si="0"/>
        <v>-</v>
      </c>
      <c r="K44" s="206" t="str">
        <f t="shared" si="0"/>
        <v>-</v>
      </c>
      <c r="L44" s="84"/>
      <c r="M44" s="81"/>
      <c r="N44" s="19">
        <f t="shared" si="2"/>
        <v>-1</v>
      </c>
      <c r="O44" s="87">
        <f t="shared" si="2"/>
        <v>-1</v>
      </c>
      <c r="P44" s="84">
        <v>3</v>
      </c>
      <c r="Q44" s="81">
        <v>650</v>
      </c>
      <c r="R44" s="187"/>
    </row>
    <row r="45" spans="1:18" ht="16.5" hidden="1" customHeight="1">
      <c r="A45" s="268"/>
      <c r="B45" s="259"/>
      <c r="C45" s="262"/>
      <c r="D45" s="214" t="s">
        <v>15</v>
      </c>
      <c r="E45" s="69">
        <v>180</v>
      </c>
      <c r="F45" s="12"/>
      <c r="G45" s="150"/>
      <c r="H45" s="10">
        <v>0</v>
      </c>
      <c r="I45" s="11">
        <f>H45*E45</f>
        <v>0</v>
      </c>
      <c r="J45" s="195" t="str">
        <f t="shared" si="0"/>
        <v>-</v>
      </c>
      <c r="K45" s="196" t="str">
        <f t="shared" si="0"/>
        <v>-</v>
      </c>
      <c r="L45" s="85"/>
      <c r="M45" s="82"/>
      <c r="N45" s="77" t="str">
        <f t="shared" si="2"/>
        <v>-</v>
      </c>
      <c r="O45" s="88" t="str">
        <f t="shared" si="2"/>
        <v>-</v>
      </c>
      <c r="P45" s="85">
        <v>0</v>
      </c>
      <c r="Q45" s="82">
        <v>0</v>
      </c>
      <c r="R45" s="187"/>
    </row>
    <row r="46" spans="1:18" ht="16.5" hidden="1" customHeight="1">
      <c r="A46" s="268"/>
      <c r="B46" s="259"/>
      <c r="C46" s="262"/>
      <c r="D46" s="214" t="s">
        <v>37</v>
      </c>
      <c r="E46" s="69">
        <v>420</v>
      </c>
      <c r="F46" s="12">
        <v>0</v>
      </c>
      <c r="G46" s="150">
        <f>F46*E46</f>
        <v>0</v>
      </c>
      <c r="H46" s="10">
        <v>0</v>
      </c>
      <c r="I46" s="11">
        <f>H46*E46</f>
        <v>0</v>
      </c>
      <c r="J46" s="195" t="str">
        <f t="shared" si="0"/>
        <v>-</v>
      </c>
      <c r="K46" s="196" t="str">
        <f t="shared" si="0"/>
        <v>-</v>
      </c>
      <c r="L46" s="85"/>
      <c r="M46" s="82"/>
      <c r="N46" s="77" t="str">
        <f t="shared" si="2"/>
        <v>-</v>
      </c>
      <c r="O46" s="88" t="str">
        <f t="shared" si="2"/>
        <v>-</v>
      </c>
      <c r="P46" s="85">
        <v>0</v>
      </c>
      <c r="Q46" s="82">
        <v>0</v>
      </c>
      <c r="R46" s="186"/>
    </row>
    <row r="47" spans="1:18" ht="16.5" hidden="1" customHeight="1">
      <c r="A47" s="268"/>
      <c r="B47" s="259"/>
      <c r="C47" s="263"/>
      <c r="D47" s="250" t="s">
        <v>16</v>
      </c>
      <c r="E47" s="251"/>
      <c r="F47" s="65">
        <f>SUM(F44:F46)</f>
        <v>0</v>
      </c>
      <c r="G47" s="151">
        <f>SUM(G44:G46)</f>
        <v>0</v>
      </c>
      <c r="H47" s="164">
        <f>SUM(H44:H46)</f>
        <v>0</v>
      </c>
      <c r="I47" s="165">
        <f>SUM(I44:I46)</f>
        <v>0</v>
      </c>
      <c r="J47" s="209" t="str">
        <f t="shared" si="0"/>
        <v>-</v>
      </c>
      <c r="K47" s="210" t="str">
        <f t="shared" si="0"/>
        <v>-</v>
      </c>
      <c r="L47" s="65">
        <f>SUM(L44:L46)</f>
        <v>0</v>
      </c>
      <c r="M47" s="74">
        <f>SUM(M44:M46)</f>
        <v>0</v>
      </c>
      <c r="N47" s="78">
        <f t="shared" si="2"/>
        <v>-1</v>
      </c>
      <c r="O47" s="89">
        <f t="shared" si="2"/>
        <v>-1</v>
      </c>
      <c r="P47" s="65">
        <f>SUM(P44:P46)</f>
        <v>3</v>
      </c>
      <c r="Q47" s="74">
        <f>SUM(Q44:Q46)</f>
        <v>650</v>
      </c>
      <c r="R47" s="186"/>
    </row>
    <row r="48" spans="1:18" ht="16.5" hidden="1" customHeight="1">
      <c r="A48" s="268"/>
      <c r="B48" s="259"/>
      <c r="C48" s="261" t="s">
        <v>17</v>
      </c>
      <c r="D48" s="215" t="s">
        <v>18</v>
      </c>
      <c r="E48" s="70">
        <v>550</v>
      </c>
      <c r="F48" s="5"/>
      <c r="G48" s="6">
        <f>F48*E48</f>
        <v>0</v>
      </c>
      <c r="H48" s="7"/>
      <c r="I48" s="8">
        <f>H48*E48</f>
        <v>0</v>
      </c>
      <c r="J48" s="197" t="str">
        <f t="shared" si="0"/>
        <v>-</v>
      </c>
      <c r="K48" s="198" t="str">
        <f t="shared" si="0"/>
        <v>-</v>
      </c>
      <c r="L48" s="86"/>
      <c r="M48" s="83"/>
      <c r="N48" s="9">
        <f t="shared" si="2"/>
        <v>-1</v>
      </c>
      <c r="O48" s="90">
        <f t="shared" si="2"/>
        <v>-1</v>
      </c>
      <c r="P48" s="86">
        <v>1</v>
      </c>
      <c r="Q48" s="83">
        <v>720</v>
      </c>
      <c r="R48" s="186"/>
    </row>
    <row r="49" spans="1:18" ht="16.5" hidden="1" customHeight="1">
      <c r="A49" s="268"/>
      <c r="B49" s="259"/>
      <c r="C49" s="262"/>
      <c r="D49" s="214" t="s">
        <v>19</v>
      </c>
      <c r="E49" s="69">
        <v>675</v>
      </c>
      <c r="F49" s="12"/>
      <c r="G49" s="150"/>
      <c r="H49" s="10">
        <v>0</v>
      </c>
      <c r="I49" s="11">
        <f>H49*E49</f>
        <v>0</v>
      </c>
      <c r="J49" s="195" t="str">
        <f t="shared" si="0"/>
        <v>-</v>
      </c>
      <c r="K49" s="196" t="str">
        <f t="shared" si="0"/>
        <v>-</v>
      </c>
      <c r="L49" s="85"/>
      <c r="M49" s="82"/>
      <c r="N49" s="77">
        <f t="shared" si="2"/>
        <v>-1</v>
      </c>
      <c r="O49" s="88">
        <f t="shared" si="2"/>
        <v>-1</v>
      </c>
      <c r="P49" s="85">
        <v>1</v>
      </c>
      <c r="Q49" s="82">
        <v>880</v>
      </c>
      <c r="R49" s="186"/>
    </row>
    <row r="50" spans="1:18" ht="16.5" hidden="1" customHeight="1">
      <c r="A50" s="268"/>
      <c r="B50" s="259"/>
      <c r="C50" s="262"/>
      <c r="D50" s="214" t="s">
        <v>38</v>
      </c>
      <c r="E50" s="69">
        <v>810</v>
      </c>
      <c r="F50" s="12">
        <v>0</v>
      </c>
      <c r="G50" s="150">
        <f>F50*E50</f>
        <v>0</v>
      </c>
      <c r="H50" s="10">
        <v>0</v>
      </c>
      <c r="I50" s="11">
        <f>H50*E50</f>
        <v>0</v>
      </c>
      <c r="J50" s="195" t="str">
        <f t="shared" si="0"/>
        <v>-</v>
      </c>
      <c r="K50" s="196" t="str">
        <f t="shared" si="0"/>
        <v>-</v>
      </c>
      <c r="L50" s="85"/>
      <c r="M50" s="82"/>
      <c r="N50" s="77" t="str">
        <f t="shared" si="2"/>
        <v>-</v>
      </c>
      <c r="O50" s="88" t="str">
        <f t="shared" si="2"/>
        <v>-</v>
      </c>
      <c r="P50" s="85">
        <v>0</v>
      </c>
      <c r="Q50" s="82">
        <v>0</v>
      </c>
      <c r="R50" s="186"/>
    </row>
    <row r="51" spans="1:18" ht="16.5" hidden="1" customHeight="1">
      <c r="A51" s="268"/>
      <c r="B51" s="259"/>
      <c r="C51" s="263"/>
      <c r="D51" s="250" t="s">
        <v>16</v>
      </c>
      <c r="E51" s="251"/>
      <c r="F51" s="65">
        <f>SUM(F48:F50)</f>
        <v>0</v>
      </c>
      <c r="G51" s="151">
        <f>SUM(G48:G50)</f>
        <v>0</v>
      </c>
      <c r="H51" s="164">
        <f>SUM(H48:H50)</f>
        <v>0</v>
      </c>
      <c r="I51" s="165">
        <f>SUM(I48:I50)</f>
        <v>0</v>
      </c>
      <c r="J51" s="209" t="str">
        <f t="shared" si="0"/>
        <v>-</v>
      </c>
      <c r="K51" s="210" t="str">
        <f t="shared" si="0"/>
        <v>-</v>
      </c>
      <c r="L51" s="65">
        <f>SUM(L48:L50)</f>
        <v>0</v>
      </c>
      <c r="M51" s="74">
        <f>SUM(M48:M50)</f>
        <v>0</v>
      </c>
      <c r="N51" s="78">
        <f t="shared" si="2"/>
        <v>-1</v>
      </c>
      <c r="O51" s="89">
        <f t="shared" si="2"/>
        <v>-1</v>
      </c>
      <c r="P51" s="65">
        <f>SUM(P48:P50)</f>
        <v>2</v>
      </c>
      <c r="Q51" s="74">
        <f>SUM(Q48:Q50)</f>
        <v>1600</v>
      </c>
      <c r="R51" s="186"/>
    </row>
    <row r="52" spans="1:18" ht="16.5" hidden="1" customHeight="1">
      <c r="A52" s="268"/>
      <c r="B52" s="260"/>
      <c r="C52" s="270" t="s">
        <v>20</v>
      </c>
      <c r="D52" s="271"/>
      <c r="E52" s="272"/>
      <c r="F52" s="102">
        <f>SUM(F47,F51)</f>
        <v>0</v>
      </c>
      <c r="G52" s="159">
        <f>SUM(G47,G51)</f>
        <v>0</v>
      </c>
      <c r="H52" s="175">
        <f>H51+H47</f>
        <v>0</v>
      </c>
      <c r="I52" s="176">
        <f>I51+I47</f>
        <v>0</v>
      </c>
      <c r="J52" s="211" t="str">
        <f t="shared" si="0"/>
        <v>-</v>
      </c>
      <c r="K52" s="212" t="str">
        <f t="shared" si="0"/>
        <v>-</v>
      </c>
      <c r="L52" s="102">
        <f>L51+L47</f>
        <v>0</v>
      </c>
      <c r="M52" s="119">
        <f>M51+M47</f>
        <v>0</v>
      </c>
      <c r="N52" s="122">
        <f t="shared" si="2"/>
        <v>-1</v>
      </c>
      <c r="O52" s="126">
        <f t="shared" si="2"/>
        <v>-1</v>
      </c>
      <c r="P52" s="102">
        <f>P51+P47</f>
        <v>5</v>
      </c>
      <c r="Q52" s="119">
        <f>Q51+Q47</f>
        <v>2250</v>
      </c>
      <c r="R52" s="186"/>
    </row>
    <row r="53" spans="1:18" ht="16.5" hidden="1" customHeight="1">
      <c r="A53" s="268"/>
      <c r="B53" s="258" t="s">
        <v>21</v>
      </c>
      <c r="C53" s="252" t="s">
        <v>12</v>
      </c>
      <c r="D53" s="215" t="s">
        <v>13</v>
      </c>
      <c r="E53" s="70">
        <v>190</v>
      </c>
      <c r="F53" s="5">
        <v>0</v>
      </c>
      <c r="G53" s="6">
        <f>F53*E53</f>
        <v>0</v>
      </c>
      <c r="H53" s="7">
        <v>0</v>
      </c>
      <c r="I53" s="8">
        <f>H53*E53</f>
        <v>0</v>
      </c>
      <c r="J53" s="197" t="str">
        <f t="shared" si="0"/>
        <v>-</v>
      </c>
      <c r="K53" s="198" t="str">
        <f t="shared" si="0"/>
        <v>-</v>
      </c>
      <c r="L53" s="86"/>
      <c r="M53" s="83"/>
      <c r="N53" s="9" t="str">
        <f t="shared" si="2"/>
        <v>-</v>
      </c>
      <c r="O53" s="90" t="str">
        <f t="shared" si="2"/>
        <v>-</v>
      </c>
      <c r="P53" s="86">
        <v>0</v>
      </c>
      <c r="Q53" s="83">
        <v>0</v>
      </c>
      <c r="R53" s="188"/>
    </row>
    <row r="54" spans="1:18" ht="16.5" hidden="1" customHeight="1">
      <c r="A54" s="268"/>
      <c r="B54" s="259"/>
      <c r="C54" s="253"/>
      <c r="D54" s="214" t="s">
        <v>15</v>
      </c>
      <c r="E54" s="69">
        <v>120</v>
      </c>
      <c r="F54" s="12"/>
      <c r="G54" s="150"/>
      <c r="H54" s="10">
        <v>0</v>
      </c>
      <c r="I54" s="11">
        <f>H54*E54</f>
        <v>0</v>
      </c>
      <c r="J54" s="195" t="str">
        <f t="shared" si="0"/>
        <v>-</v>
      </c>
      <c r="K54" s="196" t="str">
        <f t="shared" si="0"/>
        <v>-</v>
      </c>
      <c r="L54" s="85"/>
      <c r="M54" s="82"/>
      <c r="N54" s="77" t="str">
        <f t="shared" si="2"/>
        <v>-</v>
      </c>
      <c r="O54" s="88" t="str">
        <f t="shared" si="2"/>
        <v>-</v>
      </c>
      <c r="P54" s="85">
        <v>0</v>
      </c>
      <c r="Q54" s="82">
        <v>0</v>
      </c>
      <c r="R54" s="188"/>
    </row>
    <row r="55" spans="1:18" ht="16.5" hidden="1" customHeight="1">
      <c r="A55" s="268"/>
      <c r="B55" s="259"/>
      <c r="C55" s="253"/>
      <c r="D55" s="214" t="s">
        <v>37</v>
      </c>
      <c r="E55" s="69">
        <v>300</v>
      </c>
      <c r="F55" s="12">
        <v>0</v>
      </c>
      <c r="G55" s="150">
        <f>F55*E55</f>
        <v>0</v>
      </c>
      <c r="H55" s="10">
        <v>0</v>
      </c>
      <c r="I55" s="11">
        <f>H55*E55</f>
        <v>0</v>
      </c>
      <c r="J55" s="195" t="str">
        <f t="shared" si="0"/>
        <v>-</v>
      </c>
      <c r="K55" s="196" t="str">
        <f t="shared" si="0"/>
        <v>-</v>
      </c>
      <c r="L55" s="85"/>
      <c r="M55" s="82"/>
      <c r="N55" s="77" t="str">
        <f t="shared" si="2"/>
        <v>-</v>
      </c>
      <c r="O55" s="88" t="str">
        <f t="shared" si="2"/>
        <v>-</v>
      </c>
      <c r="P55" s="85">
        <v>0</v>
      </c>
      <c r="Q55" s="82">
        <v>0</v>
      </c>
      <c r="R55" s="188"/>
    </row>
    <row r="56" spans="1:18" ht="16.5" hidden="1" customHeight="1">
      <c r="A56" s="268"/>
      <c r="B56" s="259"/>
      <c r="C56" s="254"/>
      <c r="D56" s="250" t="s">
        <v>16</v>
      </c>
      <c r="E56" s="251"/>
      <c r="F56" s="65">
        <f>SUM(F53:F55)</f>
        <v>0</v>
      </c>
      <c r="G56" s="151">
        <f>SUM(G53:G55)</f>
        <v>0</v>
      </c>
      <c r="H56" s="164">
        <f>SUM(H53:H55)</f>
        <v>0</v>
      </c>
      <c r="I56" s="165">
        <f>SUM(I53:I55)</f>
        <v>0</v>
      </c>
      <c r="J56" s="209" t="str">
        <f t="shared" si="0"/>
        <v>-</v>
      </c>
      <c r="K56" s="210" t="str">
        <f t="shared" si="0"/>
        <v>-</v>
      </c>
      <c r="L56" s="65">
        <f>SUM(L53:L55)</f>
        <v>0</v>
      </c>
      <c r="M56" s="74">
        <f>SUM(M53:M55)</f>
        <v>0</v>
      </c>
      <c r="N56" s="78" t="str">
        <f t="shared" si="2"/>
        <v>-</v>
      </c>
      <c r="O56" s="89" t="str">
        <f t="shared" si="2"/>
        <v>-</v>
      </c>
      <c r="P56" s="65">
        <f>SUM(P53:P55)</f>
        <v>0</v>
      </c>
      <c r="Q56" s="74">
        <f>SUM(Q53:Q55)</f>
        <v>0</v>
      </c>
      <c r="R56" s="188"/>
    </row>
    <row r="57" spans="1:18" ht="16.5" hidden="1" customHeight="1">
      <c r="A57" s="268"/>
      <c r="B57" s="259"/>
      <c r="C57" s="252" t="s">
        <v>17</v>
      </c>
      <c r="D57" s="215" t="s">
        <v>18</v>
      </c>
      <c r="E57" s="70">
        <v>440</v>
      </c>
      <c r="F57" s="5">
        <v>0</v>
      </c>
      <c r="G57" s="6">
        <f>F57*E57</f>
        <v>0</v>
      </c>
      <c r="H57" s="7">
        <v>0</v>
      </c>
      <c r="I57" s="8">
        <f>H57*E57</f>
        <v>0</v>
      </c>
      <c r="J57" s="197" t="str">
        <f t="shared" si="0"/>
        <v>-</v>
      </c>
      <c r="K57" s="198" t="str">
        <f t="shared" si="0"/>
        <v>-</v>
      </c>
      <c r="L57" s="86"/>
      <c r="M57" s="83"/>
      <c r="N57" s="9" t="str">
        <f t="shared" si="2"/>
        <v>-</v>
      </c>
      <c r="O57" s="90" t="str">
        <f t="shared" si="2"/>
        <v>-</v>
      </c>
      <c r="P57" s="86">
        <v>0</v>
      </c>
      <c r="Q57" s="83">
        <v>0</v>
      </c>
      <c r="R57" s="188"/>
    </row>
    <row r="58" spans="1:18" ht="16.5" hidden="1" customHeight="1">
      <c r="A58" s="268"/>
      <c r="B58" s="259"/>
      <c r="C58" s="253"/>
      <c r="D58" s="214" t="s">
        <v>19</v>
      </c>
      <c r="E58" s="69">
        <v>520</v>
      </c>
      <c r="F58" s="12">
        <v>0</v>
      </c>
      <c r="G58" s="150">
        <v>0</v>
      </c>
      <c r="H58" s="10">
        <v>0</v>
      </c>
      <c r="I58" s="11">
        <f>H58*E58</f>
        <v>0</v>
      </c>
      <c r="J58" s="195" t="str">
        <f t="shared" si="0"/>
        <v>-</v>
      </c>
      <c r="K58" s="196" t="str">
        <f t="shared" si="0"/>
        <v>-</v>
      </c>
      <c r="L58" s="85"/>
      <c r="M58" s="82"/>
      <c r="N58" s="77" t="str">
        <f t="shared" si="2"/>
        <v>-</v>
      </c>
      <c r="O58" s="88" t="str">
        <f t="shared" si="2"/>
        <v>-</v>
      </c>
      <c r="P58" s="85">
        <v>0</v>
      </c>
      <c r="Q58" s="82">
        <v>0</v>
      </c>
      <c r="R58" s="188"/>
    </row>
    <row r="59" spans="1:18" ht="16.5" hidden="1" customHeight="1">
      <c r="A59" s="268"/>
      <c r="B59" s="259"/>
      <c r="C59" s="253"/>
      <c r="D59" s="214" t="s">
        <v>38</v>
      </c>
      <c r="E59" s="69">
        <v>600</v>
      </c>
      <c r="F59" s="12">
        <v>0</v>
      </c>
      <c r="G59" s="150">
        <f>F59*E59</f>
        <v>0</v>
      </c>
      <c r="H59" s="10">
        <v>0</v>
      </c>
      <c r="I59" s="11">
        <f>H59*E59</f>
        <v>0</v>
      </c>
      <c r="J59" s="195" t="str">
        <f t="shared" si="0"/>
        <v>-</v>
      </c>
      <c r="K59" s="196" t="str">
        <f t="shared" si="0"/>
        <v>-</v>
      </c>
      <c r="L59" s="85"/>
      <c r="M59" s="82"/>
      <c r="N59" s="77" t="str">
        <f t="shared" si="2"/>
        <v>-</v>
      </c>
      <c r="O59" s="88" t="str">
        <f t="shared" si="2"/>
        <v>-</v>
      </c>
      <c r="P59" s="85">
        <v>0</v>
      </c>
      <c r="Q59" s="82">
        <v>0</v>
      </c>
      <c r="R59" s="188"/>
    </row>
    <row r="60" spans="1:18" ht="16.5" hidden="1" customHeight="1">
      <c r="A60" s="268"/>
      <c r="B60" s="259"/>
      <c r="C60" s="254"/>
      <c r="D60" s="250" t="s">
        <v>16</v>
      </c>
      <c r="E60" s="251"/>
      <c r="F60" s="65">
        <f>SUM(F57:F59)</f>
        <v>0</v>
      </c>
      <c r="G60" s="151">
        <f>SUM(G57:G59)</f>
        <v>0</v>
      </c>
      <c r="H60" s="164">
        <f>SUM(H57:H59)</f>
        <v>0</v>
      </c>
      <c r="I60" s="165">
        <f>SUM(I57:I59)</f>
        <v>0</v>
      </c>
      <c r="J60" s="209" t="str">
        <f t="shared" si="0"/>
        <v>-</v>
      </c>
      <c r="K60" s="210" t="str">
        <f t="shared" si="0"/>
        <v>-</v>
      </c>
      <c r="L60" s="65">
        <f>SUM(L57:L59)</f>
        <v>0</v>
      </c>
      <c r="M60" s="74">
        <f>SUM(M57:M59)</f>
        <v>0</v>
      </c>
      <c r="N60" s="78" t="str">
        <f t="shared" si="2"/>
        <v>-</v>
      </c>
      <c r="O60" s="89" t="str">
        <f t="shared" si="2"/>
        <v>-</v>
      </c>
      <c r="P60" s="65">
        <f>SUM(P57:P59)</f>
        <v>0</v>
      </c>
      <c r="Q60" s="74">
        <f>SUM(Q57:Q59)</f>
        <v>0</v>
      </c>
      <c r="R60" s="188"/>
    </row>
    <row r="61" spans="1:18" ht="16.5" hidden="1" customHeight="1">
      <c r="A61" s="268"/>
      <c r="B61" s="260"/>
      <c r="C61" s="255" t="s">
        <v>20</v>
      </c>
      <c r="D61" s="256"/>
      <c r="E61" s="257"/>
      <c r="F61" s="102">
        <f>SUM(F56,F60)</f>
        <v>0</v>
      </c>
      <c r="G61" s="159">
        <f>SUM(G56,G60)</f>
        <v>0</v>
      </c>
      <c r="H61" s="175">
        <f>H60+H56</f>
        <v>0</v>
      </c>
      <c r="I61" s="176">
        <f>I60+I56</f>
        <v>0</v>
      </c>
      <c r="J61" s="211" t="str">
        <f t="shared" si="0"/>
        <v>-</v>
      </c>
      <c r="K61" s="212" t="str">
        <f t="shared" si="0"/>
        <v>-</v>
      </c>
      <c r="L61" s="102">
        <f>L60+L56</f>
        <v>0</v>
      </c>
      <c r="M61" s="119">
        <f>M60+M56</f>
        <v>0</v>
      </c>
      <c r="N61" s="122" t="str">
        <f t="shared" si="2"/>
        <v>-</v>
      </c>
      <c r="O61" s="126" t="str">
        <f t="shared" si="2"/>
        <v>-</v>
      </c>
      <c r="P61" s="102">
        <f>SUM(P56,P60)</f>
        <v>0</v>
      </c>
      <c r="Q61" s="119">
        <f>SUM(Q56,Q60)</f>
        <v>0</v>
      </c>
      <c r="R61" s="188"/>
    </row>
    <row r="62" spans="1:18" ht="16.5" hidden="1" customHeight="1">
      <c r="A62" s="268"/>
      <c r="B62" s="258" t="s">
        <v>26</v>
      </c>
      <c r="C62" s="261" t="s">
        <v>12</v>
      </c>
      <c r="D62" s="215" t="s">
        <v>13</v>
      </c>
      <c r="E62" s="70">
        <v>190</v>
      </c>
      <c r="F62" s="5">
        <v>0</v>
      </c>
      <c r="G62" s="6">
        <f>F62*E62</f>
        <v>0</v>
      </c>
      <c r="H62" s="7">
        <v>0</v>
      </c>
      <c r="I62" s="8">
        <f>H62*E62</f>
        <v>0</v>
      </c>
      <c r="J62" s="197" t="str">
        <f t="shared" si="0"/>
        <v>-</v>
      </c>
      <c r="K62" s="198" t="str">
        <f t="shared" si="0"/>
        <v>-</v>
      </c>
      <c r="L62" s="86"/>
      <c r="M62" s="83"/>
      <c r="N62" s="9">
        <f t="shared" si="2"/>
        <v>-1</v>
      </c>
      <c r="O62" s="90">
        <f t="shared" si="2"/>
        <v>-1</v>
      </c>
      <c r="P62" s="86">
        <v>5</v>
      </c>
      <c r="Q62" s="83">
        <v>1020</v>
      </c>
      <c r="R62" s="188"/>
    </row>
    <row r="63" spans="1:18" ht="16.5" hidden="1" customHeight="1">
      <c r="A63" s="268"/>
      <c r="B63" s="259"/>
      <c r="C63" s="262"/>
      <c r="D63" s="214" t="s">
        <v>15</v>
      </c>
      <c r="E63" s="69">
        <v>120</v>
      </c>
      <c r="F63" s="12">
        <v>0</v>
      </c>
      <c r="G63" s="150">
        <v>0</v>
      </c>
      <c r="H63" s="10">
        <v>0</v>
      </c>
      <c r="I63" s="11">
        <f>H63*E63</f>
        <v>0</v>
      </c>
      <c r="J63" s="195" t="str">
        <f t="shared" si="0"/>
        <v>-</v>
      </c>
      <c r="K63" s="196" t="str">
        <f t="shared" si="0"/>
        <v>-</v>
      </c>
      <c r="L63" s="85"/>
      <c r="M63" s="82"/>
      <c r="N63" s="77" t="str">
        <f t="shared" si="2"/>
        <v>-</v>
      </c>
      <c r="O63" s="88" t="str">
        <f t="shared" si="2"/>
        <v>-</v>
      </c>
      <c r="P63" s="85">
        <v>0</v>
      </c>
      <c r="Q63" s="82">
        <v>0</v>
      </c>
      <c r="R63" s="188"/>
    </row>
    <row r="64" spans="1:18" ht="16.5" hidden="1" customHeight="1">
      <c r="A64" s="268"/>
      <c r="B64" s="259"/>
      <c r="C64" s="262"/>
      <c r="D64" s="214" t="s">
        <v>37</v>
      </c>
      <c r="E64" s="69">
        <v>300</v>
      </c>
      <c r="F64" s="12">
        <v>0</v>
      </c>
      <c r="G64" s="150">
        <f>F64*E64</f>
        <v>0</v>
      </c>
      <c r="H64" s="10">
        <v>0</v>
      </c>
      <c r="I64" s="11">
        <f>H64*E64</f>
        <v>0</v>
      </c>
      <c r="J64" s="195" t="str">
        <f t="shared" si="0"/>
        <v>-</v>
      </c>
      <c r="K64" s="196" t="str">
        <f t="shared" si="0"/>
        <v>-</v>
      </c>
      <c r="L64" s="85"/>
      <c r="M64" s="82"/>
      <c r="N64" s="77">
        <f t="shared" si="2"/>
        <v>-1</v>
      </c>
      <c r="O64" s="88">
        <f t="shared" si="2"/>
        <v>-1</v>
      </c>
      <c r="P64" s="85">
        <v>5</v>
      </c>
      <c r="Q64" s="82">
        <v>1800</v>
      </c>
      <c r="R64" s="188"/>
    </row>
    <row r="65" spans="1:18" ht="16.5" hidden="1" customHeight="1">
      <c r="A65" s="268"/>
      <c r="B65" s="259"/>
      <c r="C65" s="263"/>
      <c r="D65" s="250" t="s">
        <v>16</v>
      </c>
      <c r="E65" s="251"/>
      <c r="F65" s="65">
        <f>SUM(F62:F64)</f>
        <v>0</v>
      </c>
      <c r="G65" s="151">
        <f>SUM(G62:G64)</f>
        <v>0</v>
      </c>
      <c r="H65" s="164">
        <f>SUM(H62:H64)</f>
        <v>0</v>
      </c>
      <c r="I65" s="165">
        <f>SUM(I62:I64)</f>
        <v>0</v>
      </c>
      <c r="J65" s="209" t="str">
        <f t="shared" si="0"/>
        <v>-</v>
      </c>
      <c r="K65" s="210" t="str">
        <f t="shared" si="0"/>
        <v>-</v>
      </c>
      <c r="L65" s="65">
        <f>SUM(L62:L64)</f>
        <v>0</v>
      </c>
      <c r="M65" s="74">
        <f>SUM(M62:M64)</f>
        <v>0</v>
      </c>
      <c r="N65" s="78">
        <f t="shared" si="2"/>
        <v>-1</v>
      </c>
      <c r="O65" s="89">
        <f t="shared" si="2"/>
        <v>-1</v>
      </c>
      <c r="P65" s="65">
        <f>SUM(P62:P64)</f>
        <v>10</v>
      </c>
      <c r="Q65" s="74">
        <f>SUM(Q62:Q64)</f>
        <v>2820</v>
      </c>
      <c r="R65" s="188"/>
    </row>
    <row r="66" spans="1:18" ht="16.5" hidden="1" customHeight="1">
      <c r="A66" s="268"/>
      <c r="B66" s="259"/>
      <c r="C66" s="261" t="s">
        <v>17</v>
      </c>
      <c r="D66" s="215" t="s">
        <v>18</v>
      </c>
      <c r="E66" s="70">
        <v>440</v>
      </c>
      <c r="F66" s="5">
        <v>0</v>
      </c>
      <c r="G66" s="6">
        <f>F66*E66</f>
        <v>0</v>
      </c>
      <c r="H66" s="7">
        <v>0</v>
      </c>
      <c r="I66" s="8">
        <f>H66*E66</f>
        <v>0</v>
      </c>
      <c r="J66" s="197" t="str">
        <f t="shared" si="0"/>
        <v>-</v>
      </c>
      <c r="K66" s="198" t="str">
        <f t="shared" si="0"/>
        <v>-</v>
      </c>
      <c r="L66" s="86"/>
      <c r="M66" s="83"/>
      <c r="N66" s="9">
        <f t="shared" si="2"/>
        <v>-1</v>
      </c>
      <c r="O66" s="90">
        <f t="shared" si="2"/>
        <v>-1</v>
      </c>
      <c r="P66" s="86">
        <v>3</v>
      </c>
      <c r="Q66" s="83">
        <v>1770</v>
      </c>
      <c r="R66" s="188"/>
    </row>
    <row r="67" spans="1:18" ht="16.5" hidden="1" customHeight="1">
      <c r="A67" s="268"/>
      <c r="B67" s="259"/>
      <c r="C67" s="262"/>
      <c r="D67" s="214" t="s">
        <v>19</v>
      </c>
      <c r="E67" s="69">
        <v>520</v>
      </c>
      <c r="F67" s="12">
        <v>0</v>
      </c>
      <c r="G67" s="150">
        <v>0</v>
      </c>
      <c r="H67" s="10">
        <v>0</v>
      </c>
      <c r="I67" s="11">
        <f>H67*E67</f>
        <v>0</v>
      </c>
      <c r="J67" s="195" t="str">
        <f t="shared" si="0"/>
        <v>-</v>
      </c>
      <c r="K67" s="196" t="str">
        <f t="shared" si="0"/>
        <v>-</v>
      </c>
      <c r="L67" s="85"/>
      <c r="M67" s="82"/>
      <c r="N67" s="77">
        <f t="shared" si="2"/>
        <v>-1</v>
      </c>
      <c r="O67" s="88">
        <f t="shared" si="2"/>
        <v>-1</v>
      </c>
      <c r="P67" s="85">
        <v>3</v>
      </c>
      <c r="Q67" s="82">
        <v>2160</v>
      </c>
      <c r="R67" s="188"/>
    </row>
    <row r="68" spans="1:18" ht="16.5" hidden="1" customHeight="1">
      <c r="A68" s="268"/>
      <c r="B68" s="259"/>
      <c r="C68" s="262"/>
      <c r="D68" s="214" t="s">
        <v>38</v>
      </c>
      <c r="E68" s="69">
        <v>600</v>
      </c>
      <c r="F68" s="12">
        <v>0</v>
      </c>
      <c r="G68" s="150">
        <f>F68*E68</f>
        <v>0</v>
      </c>
      <c r="H68" s="10">
        <v>0</v>
      </c>
      <c r="I68" s="11">
        <f>H68*E68</f>
        <v>0</v>
      </c>
      <c r="J68" s="195" t="str">
        <f t="shared" si="0"/>
        <v>-</v>
      </c>
      <c r="K68" s="196" t="str">
        <f t="shared" si="0"/>
        <v>-</v>
      </c>
      <c r="L68" s="85"/>
      <c r="M68" s="82"/>
      <c r="N68" s="77" t="str">
        <f t="shared" si="2"/>
        <v>-</v>
      </c>
      <c r="O68" s="88" t="str">
        <f t="shared" si="2"/>
        <v>-</v>
      </c>
      <c r="P68" s="85">
        <v>0</v>
      </c>
      <c r="Q68" s="82">
        <v>0</v>
      </c>
      <c r="R68" s="188"/>
    </row>
    <row r="69" spans="1:18" ht="16.5" hidden="1" customHeight="1">
      <c r="A69" s="268"/>
      <c r="B69" s="259"/>
      <c r="C69" s="263"/>
      <c r="D69" s="250" t="s">
        <v>16</v>
      </c>
      <c r="E69" s="251"/>
      <c r="F69" s="65">
        <f>SUM(F66:F68)</f>
        <v>0</v>
      </c>
      <c r="G69" s="151">
        <f>SUM(G66:G68)</f>
        <v>0</v>
      </c>
      <c r="H69" s="164">
        <f>SUM(H66:H68)</f>
        <v>0</v>
      </c>
      <c r="I69" s="165">
        <f>SUM(I66:I68)</f>
        <v>0</v>
      </c>
      <c r="J69" s="209" t="str">
        <f t="shared" si="0"/>
        <v>-</v>
      </c>
      <c r="K69" s="210" t="str">
        <f t="shared" si="0"/>
        <v>-</v>
      </c>
      <c r="L69" s="65">
        <f>SUM(L66:L68)</f>
        <v>0</v>
      </c>
      <c r="M69" s="74">
        <f>SUM(M66:M68)</f>
        <v>0</v>
      </c>
      <c r="N69" s="78">
        <f t="shared" si="2"/>
        <v>-1</v>
      </c>
      <c r="O69" s="89">
        <f t="shared" si="2"/>
        <v>-1</v>
      </c>
      <c r="P69" s="65">
        <f>SUM(P66:P68)</f>
        <v>6</v>
      </c>
      <c r="Q69" s="74">
        <f>SUM(Q66:Q68)</f>
        <v>3930</v>
      </c>
      <c r="R69" s="188"/>
    </row>
    <row r="70" spans="1:18" ht="16.5" hidden="1" customHeight="1">
      <c r="A70" s="269"/>
      <c r="B70" s="260"/>
      <c r="C70" s="255" t="s">
        <v>20</v>
      </c>
      <c r="D70" s="256"/>
      <c r="E70" s="257"/>
      <c r="F70" s="102">
        <f>SUM(F65,F69)</f>
        <v>0</v>
      </c>
      <c r="G70" s="159">
        <f>SUM(G65,G69)</f>
        <v>0</v>
      </c>
      <c r="H70" s="175">
        <f>H69+H65</f>
        <v>0</v>
      </c>
      <c r="I70" s="176">
        <f>I69+I65</f>
        <v>0</v>
      </c>
      <c r="J70" s="211" t="str">
        <f t="shared" si="0"/>
        <v>-</v>
      </c>
      <c r="K70" s="212" t="str">
        <f t="shared" si="0"/>
        <v>-</v>
      </c>
      <c r="L70" s="102">
        <f>L69+L65</f>
        <v>0</v>
      </c>
      <c r="M70" s="119">
        <f>M69+M65</f>
        <v>0</v>
      </c>
      <c r="N70" s="122">
        <f t="shared" si="2"/>
        <v>-1</v>
      </c>
      <c r="O70" s="126">
        <f t="shared" si="2"/>
        <v>-1</v>
      </c>
      <c r="P70" s="102">
        <f>P69+P65</f>
        <v>16</v>
      </c>
      <c r="Q70" s="119">
        <f>Q69+Q65</f>
        <v>6750</v>
      </c>
      <c r="R70" s="188"/>
    </row>
    <row r="71" spans="1:18" ht="16.5" hidden="1" customHeight="1">
      <c r="A71" s="239" t="s">
        <v>49</v>
      </c>
      <c r="B71" s="240"/>
      <c r="C71" s="240"/>
      <c r="D71" s="240"/>
      <c r="E71" s="241"/>
      <c r="F71" s="97">
        <f>F70+F61+F52</f>
        <v>0</v>
      </c>
      <c r="G71" s="158">
        <f>G70+G61+G52</f>
        <v>0</v>
      </c>
      <c r="H71" s="173">
        <f>H70+H61+H52</f>
        <v>0</v>
      </c>
      <c r="I71" s="174">
        <f>I70+I61+I52</f>
        <v>0</v>
      </c>
      <c r="J71" s="207" t="str">
        <f t="shared" ref="J71:K83" si="3">IFERROR(H71/L71-1,"-")</f>
        <v>-</v>
      </c>
      <c r="K71" s="208" t="str">
        <f t="shared" si="3"/>
        <v>-</v>
      </c>
      <c r="L71" s="97">
        <f>L70+L61+L52</f>
        <v>0</v>
      </c>
      <c r="M71" s="118">
        <f>M70+M61+M52</f>
        <v>0</v>
      </c>
      <c r="N71" s="121">
        <f t="shared" ref="N71:O83" si="4">IFERROR(H71/P71-1,"-")</f>
        <v>-1</v>
      </c>
      <c r="O71" s="125">
        <f t="shared" si="4"/>
        <v>-1</v>
      </c>
      <c r="P71" s="97">
        <f>P70+P61+P52</f>
        <v>21</v>
      </c>
      <c r="Q71" s="118">
        <f>Q70+Q61+Q52</f>
        <v>9000</v>
      </c>
      <c r="R71" s="188"/>
    </row>
    <row r="72" spans="1:18" ht="16.5" customHeight="1">
      <c r="A72" s="242" t="s">
        <v>51</v>
      </c>
      <c r="B72" s="242" t="s">
        <v>50</v>
      </c>
      <c r="C72" s="245" t="s">
        <v>12</v>
      </c>
      <c r="D72" s="219" t="s">
        <v>52</v>
      </c>
      <c r="E72" s="109">
        <v>190</v>
      </c>
      <c r="F72" s="98">
        <v>1</v>
      </c>
      <c r="G72" s="154">
        <f>F72*E72</f>
        <v>190</v>
      </c>
      <c r="H72" s="17">
        <v>1</v>
      </c>
      <c r="I72" s="18">
        <f>H72*E72</f>
        <v>190</v>
      </c>
      <c r="J72" s="197" t="str">
        <f t="shared" si="3"/>
        <v>-</v>
      </c>
      <c r="K72" s="198" t="str">
        <f t="shared" si="3"/>
        <v>-</v>
      </c>
      <c r="L72" s="98"/>
      <c r="M72" s="114"/>
      <c r="N72" s="19">
        <f t="shared" si="4"/>
        <v>-0.93333333333333335</v>
      </c>
      <c r="O72" s="87">
        <f t="shared" si="4"/>
        <v>-0.92692307692307696</v>
      </c>
      <c r="P72" s="98">
        <v>15</v>
      </c>
      <c r="Q72" s="114">
        <f>1690+910</f>
        <v>2600</v>
      </c>
      <c r="R72" s="231"/>
    </row>
    <row r="73" spans="1:18" ht="16.5" customHeight="1">
      <c r="A73" s="243"/>
      <c r="B73" s="243"/>
      <c r="C73" s="246"/>
      <c r="D73" s="220" t="s">
        <v>53</v>
      </c>
      <c r="E73" s="110">
        <v>120</v>
      </c>
      <c r="F73" s="101">
        <v>0</v>
      </c>
      <c r="G73" s="157">
        <f>F73*E73</f>
        <v>0</v>
      </c>
      <c r="H73" s="20">
        <v>0</v>
      </c>
      <c r="I73" s="172">
        <f>H73*E73</f>
        <v>0</v>
      </c>
      <c r="J73" s="195" t="str">
        <f t="shared" si="3"/>
        <v>-</v>
      </c>
      <c r="K73" s="196" t="str">
        <f t="shared" si="3"/>
        <v>-</v>
      </c>
      <c r="L73" s="101"/>
      <c r="M73" s="117"/>
      <c r="N73" s="77" t="str">
        <f t="shared" si="4"/>
        <v>-</v>
      </c>
      <c r="O73" s="88" t="str">
        <f t="shared" si="4"/>
        <v>-</v>
      </c>
      <c r="P73" s="101">
        <v>0</v>
      </c>
      <c r="Q73" s="117">
        <v>0</v>
      </c>
      <c r="R73" s="189"/>
    </row>
    <row r="74" spans="1:18" ht="16.5" customHeight="1">
      <c r="A74" s="243"/>
      <c r="B74" s="243"/>
      <c r="C74" s="246"/>
      <c r="D74" s="220" t="s">
        <v>37</v>
      </c>
      <c r="E74" s="110">
        <v>300</v>
      </c>
      <c r="F74" s="101">
        <v>1</v>
      </c>
      <c r="G74" s="157">
        <f>F74*E74</f>
        <v>300</v>
      </c>
      <c r="H74" s="20">
        <v>1</v>
      </c>
      <c r="I74" s="172">
        <f>H74*E74</f>
        <v>300</v>
      </c>
      <c r="J74" s="195" t="str">
        <f t="shared" si="3"/>
        <v>-</v>
      </c>
      <c r="K74" s="196" t="str">
        <f t="shared" si="3"/>
        <v>-</v>
      </c>
      <c r="L74" s="101"/>
      <c r="M74" s="117"/>
      <c r="N74" s="77">
        <f t="shared" si="4"/>
        <v>0</v>
      </c>
      <c r="O74" s="88">
        <f t="shared" si="4"/>
        <v>-3.2258064516129004E-2</v>
      </c>
      <c r="P74" s="101">
        <v>1</v>
      </c>
      <c r="Q74" s="117">
        <v>310</v>
      </c>
      <c r="R74" s="189"/>
    </row>
    <row r="75" spans="1:18" ht="16.5" customHeight="1">
      <c r="A75" s="243"/>
      <c r="B75" s="243"/>
      <c r="C75" s="247"/>
      <c r="D75" s="248" t="s">
        <v>16</v>
      </c>
      <c r="E75" s="249"/>
      <c r="F75" s="99">
        <f>SUM(F72:F74)</f>
        <v>2</v>
      </c>
      <c r="G75" s="155">
        <f>SUM(G72:G74)</f>
        <v>490</v>
      </c>
      <c r="H75" s="170">
        <f>SUM(H72:H74)</f>
        <v>2</v>
      </c>
      <c r="I75" s="171">
        <f>SUM(I72:I74)</f>
        <v>490</v>
      </c>
      <c r="J75" s="209" t="str">
        <f t="shared" si="3"/>
        <v>-</v>
      </c>
      <c r="K75" s="210" t="str">
        <f t="shared" si="3"/>
        <v>-</v>
      </c>
      <c r="L75" s="99">
        <f>SUM(L72:L74)</f>
        <v>0</v>
      </c>
      <c r="M75" s="115">
        <f>SUM(M72:M74)</f>
        <v>0</v>
      </c>
      <c r="N75" s="78">
        <f t="shared" si="4"/>
        <v>-0.875</v>
      </c>
      <c r="O75" s="89">
        <f t="shared" si="4"/>
        <v>-0.83161512027491402</v>
      </c>
      <c r="P75" s="99">
        <f>SUM(P72:P74)</f>
        <v>16</v>
      </c>
      <c r="Q75" s="115">
        <f>SUM(Q72:Q74)</f>
        <v>2910</v>
      </c>
      <c r="R75" s="189"/>
    </row>
    <row r="76" spans="1:18" ht="16.5" customHeight="1">
      <c r="A76" s="243"/>
      <c r="B76" s="243"/>
      <c r="C76" s="245" t="s">
        <v>17</v>
      </c>
      <c r="D76" s="221" t="s">
        <v>18</v>
      </c>
      <c r="E76" s="111">
        <v>440</v>
      </c>
      <c r="F76" s="98">
        <v>14</v>
      </c>
      <c r="G76" s="154">
        <f>F76*E76</f>
        <v>6160</v>
      </c>
      <c r="H76" s="17">
        <v>14</v>
      </c>
      <c r="I76" s="18">
        <f>H76*E76</f>
        <v>6160</v>
      </c>
      <c r="J76" s="197" t="str">
        <f t="shared" ref="J76:J79" si="5">IFERROR(H76/L76-1,"-")</f>
        <v>-</v>
      </c>
      <c r="K76" s="198" t="str">
        <f t="shared" ref="K76:K79" si="6">IFERROR(I76/M76-1,"-")</f>
        <v>-</v>
      </c>
      <c r="L76" s="100"/>
      <c r="M76" s="116"/>
      <c r="N76" s="9">
        <f t="shared" si="4"/>
        <v>-0.7021276595744681</v>
      </c>
      <c r="O76" s="90">
        <f t="shared" si="4"/>
        <v>-0.70915958451369221</v>
      </c>
      <c r="P76" s="100">
        <f>33+4+1+9</f>
        <v>47</v>
      </c>
      <c r="Q76" s="116">
        <f>14520+1760+490+4410</f>
        <v>21180</v>
      </c>
      <c r="R76" s="189"/>
    </row>
    <row r="77" spans="1:18" ht="16.5" customHeight="1">
      <c r="A77" s="243"/>
      <c r="B77" s="243"/>
      <c r="C77" s="246"/>
      <c r="D77" s="220" t="s">
        <v>19</v>
      </c>
      <c r="E77" s="110">
        <v>520</v>
      </c>
      <c r="F77" s="101">
        <v>15</v>
      </c>
      <c r="G77" s="157">
        <f>F77*E77</f>
        <v>7800</v>
      </c>
      <c r="H77" s="20">
        <v>15</v>
      </c>
      <c r="I77" s="172">
        <f>H77*E77</f>
        <v>7800</v>
      </c>
      <c r="J77" s="195" t="str">
        <f t="shared" si="5"/>
        <v>-</v>
      </c>
      <c r="K77" s="196" t="str">
        <f t="shared" si="6"/>
        <v>-</v>
      </c>
      <c r="L77" s="101"/>
      <c r="M77" s="117"/>
      <c r="N77" s="77">
        <f t="shared" si="4"/>
        <v>-0.625</v>
      </c>
      <c r="O77" s="88">
        <f t="shared" si="4"/>
        <v>-0.63033175355450233</v>
      </c>
      <c r="P77" s="101">
        <f>34+6</f>
        <v>40</v>
      </c>
      <c r="Q77" s="117">
        <f>17680+3420</f>
        <v>21100</v>
      </c>
      <c r="R77" s="189"/>
    </row>
    <row r="78" spans="1:18" ht="16.5" customHeight="1">
      <c r="A78" s="243"/>
      <c r="B78" s="243"/>
      <c r="C78" s="246"/>
      <c r="D78" s="220" t="s">
        <v>38</v>
      </c>
      <c r="E78" s="110">
        <v>600</v>
      </c>
      <c r="F78" s="101">
        <v>3</v>
      </c>
      <c r="G78" s="157">
        <f>F78*E78</f>
        <v>1800</v>
      </c>
      <c r="H78" s="20">
        <v>3</v>
      </c>
      <c r="I78" s="172">
        <f>H78*E78</f>
        <v>1800</v>
      </c>
      <c r="J78" s="195">
        <f t="shared" si="5"/>
        <v>-0.7</v>
      </c>
      <c r="K78" s="196">
        <f t="shared" si="6"/>
        <v>-0.5982142857142857</v>
      </c>
      <c r="L78" s="101">
        <v>10</v>
      </c>
      <c r="M78" s="117">
        <v>4480</v>
      </c>
      <c r="N78" s="77" t="str">
        <f t="shared" si="4"/>
        <v>-</v>
      </c>
      <c r="O78" s="88" t="str">
        <f t="shared" si="4"/>
        <v>-</v>
      </c>
      <c r="P78" s="101">
        <v>0</v>
      </c>
      <c r="Q78" s="117">
        <v>0</v>
      </c>
      <c r="R78" s="189"/>
    </row>
    <row r="79" spans="1:18" ht="16.5" customHeight="1">
      <c r="A79" s="243"/>
      <c r="B79" s="243"/>
      <c r="C79" s="247"/>
      <c r="D79" s="248" t="s">
        <v>16</v>
      </c>
      <c r="E79" s="249"/>
      <c r="F79" s="99">
        <f>SUM(F76:F78)</f>
        <v>32</v>
      </c>
      <c r="G79" s="155">
        <f>SUM(G76:G78)</f>
        <v>15760</v>
      </c>
      <c r="H79" s="170">
        <f>SUM(H76:H78)</f>
        <v>32</v>
      </c>
      <c r="I79" s="171">
        <f>SUM(I76:I78)</f>
        <v>15760</v>
      </c>
      <c r="J79" s="209">
        <f t="shared" si="5"/>
        <v>2.2000000000000002</v>
      </c>
      <c r="K79" s="210">
        <f t="shared" si="6"/>
        <v>2.5178571428571428</v>
      </c>
      <c r="L79" s="99">
        <f>SUM(L76:L78)</f>
        <v>10</v>
      </c>
      <c r="M79" s="115">
        <f>SUM(M76:M78)</f>
        <v>4480</v>
      </c>
      <c r="N79" s="78">
        <f t="shared" si="4"/>
        <v>-0.63218390804597702</v>
      </c>
      <c r="O79" s="89">
        <f t="shared" si="4"/>
        <v>-0.62724692526017023</v>
      </c>
      <c r="P79" s="99">
        <f>SUM(P76:P78)</f>
        <v>87</v>
      </c>
      <c r="Q79" s="115">
        <f>SUM(Q76:Q78)</f>
        <v>42280</v>
      </c>
      <c r="R79" s="189"/>
    </row>
    <row r="80" spans="1:18" ht="16.5" hidden="1" customHeight="1">
      <c r="A80" s="243"/>
      <c r="B80" s="243"/>
      <c r="C80" s="245" t="s">
        <v>54</v>
      </c>
      <c r="D80" s="221" t="s">
        <v>19</v>
      </c>
      <c r="E80" s="111">
        <v>990</v>
      </c>
      <c r="F80" s="100"/>
      <c r="G80" s="156"/>
      <c r="H80" s="21"/>
      <c r="I80" s="28"/>
      <c r="J80" s="197" t="str">
        <f t="shared" si="3"/>
        <v>-</v>
      </c>
      <c r="K80" s="198" t="str">
        <f t="shared" si="3"/>
        <v>-</v>
      </c>
      <c r="L80" s="100"/>
      <c r="M80" s="116"/>
      <c r="N80" s="9" t="str">
        <f t="shared" si="4"/>
        <v>-</v>
      </c>
      <c r="O80" s="90" t="str">
        <f t="shared" si="4"/>
        <v>-</v>
      </c>
      <c r="P80" s="100">
        <v>0</v>
      </c>
      <c r="Q80" s="116">
        <v>0</v>
      </c>
      <c r="R80" s="189"/>
    </row>
    <row r="81" spans="1:18" ht="16.5" hidden="1" customHeight="1">
      <c r="A81" s="244"/>
      <c r="B81" s="244"/>
      <c r="C81" s="247"/>
      <c r="D81" s="248" t="s">
        <v>16</v>
      </c>
      <c r="E81" s="249"/>
      <c r="F81" s="99">
        <f>SUM(F80)</f>
        <v>0</v>
      </c>
      <c r="G81" s="155">
        <f>SUM(G80)</f>
        <v>0</v>
      </c>
      <c r="H81" s="170">
        <f>SUM(H80)</f>
        <v>0</v>
      </c>
      <c r="I81" s="171">
        <f>SUM(I80)</f>
        <v>0</v>
      </c>
      <c r="J81" s="209" t="str">
        <f t="shared" si="3"/>
        <v>-</v>
      </c>
      <c r="K81" s="210" t="str">
        <f t="shared" si="3"/>
        <v>-</v>
      </c>
      <c r="L81" s="99">
        <f>SUM(L80)</f>
        <v>0</v>
      </c>
      <c r="M81" s="115">
        <f>SUM(M80)</f>
        <v>0</v>
      </c>
      <c r="N81" s="78" t="str">
        <f t="shared" si="4"/>
        <v>-</v>
      </c>
      <c r="O81" s="89" t="str">
        <f t="shared" si="4"/>
        <v>-</v>
      </c>
      <c r="P81" s="99">
        <f>SUM(P80)</f>
        <v>0</v>
      </c>
      <c r="Q81" s="115">
        <f>SUM(Q80)</f>
        <v>0</v>
      </c>
      <c r="R81" s="189"/>
    </row>
    <row r="82" spans="1:18" ht="16.5" customHeight="1">
      <c r="A82" s="233" t="s">
        <v>58</v>
      </c>
      <c r="B82" s="234"/>
      <c r="C82" s="234"/>
      <c r="D82" s="234"/>
      <c r="E82" s="235"/>
      <c r="F82" s="103">
        <f>F81+F79+F75</f>
        <v>34</v>
      </c>
      <c r="G82" s="160">
        <f>G81+G79+G75</f>
        <v>16250</v>
      </c>
      <c r="H82" s="177">
        <f>H81+H79+H75</f>
        <v>34</v>
      </c>
      <c r="I82" s="178">
        <f>I81+I79+I75</f>
        <v>16250</v>
      </c>
      <c r="J82" s="207">
        <f t="shared" si="3"/>
        <v>2.4</v>
      </c>
      <c r="K82" s="208">
        <f t="shared" si="3"/>
        <v>2.6272321428571428</v>
      </c>
      <c r="L82" s="103">
        <f>L81+L79+L75</f>
        <v>10</v>
      </c>
      <c r="M82" s="120">
        <f>M81+M79+M75</f>
        <v>4480</v>
      </c>
      <c r="N82" s="121">
        <f t="shared" si="4"/>
        <v>-0.66990291262135915</v>
      </c>
      <c r="O82" s="125">
        <f t="shared" si="4"/>
        <v>-0.64040716972781586</v>
      </c>
      <c r="P82" s="103">
        <f>P81+P79+P75</f>
        <v>103</v>
      </c>
      <c r="Q82" s="120">
        <f>Q81+Q79+Q75</f>
        <v>45190</v>
      </c>
      <c r="R82" s="188"/>
    </row>
    <row r="83" spans="1:18" ht="17.25" thickBot="1">
      <c r="A83" s="236" t="s">
        <v>55</v>
      </c>
      <c r="B83" s="237"/>
      <c r="C83" s="237"/>
      <c r="D83" s="237"/>
      <c r="E83" s="238"/>
      <c r="F83" s="199">
        <f>F82+F71+F43+F34</f>
        <v>39</v>
      </c>
      <c r="G83" s="225">
        <f>G82+G71+G43+G34</f>
        <v>19475</v>
      </c>
      <c r="H83" s="229">
        <f>H82+H71+H43+H34</f>
        <v>126</v>
      </c>
      <c r="I83" s="230">
        <f>I82+I71+I43+I34</f>
        <v>68915</v>
      </c>
      <c r="J83" s="201">
        <f t="shared" si="3"/>
        <v>0.125</v>
      </c>
      <c r="K83" s="202">
        <f t="shared" si="3"/>
        <v>0.27786018913406263</v>
      </c>
      <c r="L83" s="199">
        <f>L82+L71+L43+L34</f>
        <v>112</v>
      </c>
      <c r="M83" s="200">
        <f>M82+M71+M43+M34</f>
        <v>53930</v>
      </c>
      <c r="N83" s="203">
        <f t="shared" si="4"/>
        <v>-0.65096952908587258</v>
      </c>
      <c r="O83" s="204">
        <f t="shared" si="4"/>
        <v>-0.58427339084273389</v>
      </c>
      <c r="P83" s="199">
        <f>P82+P71+P43+P34</f>
        <v>361</v>
      </c>
      <c r="Q83" s="200">
        <f>Q82+Q71+Q43+Q34</f>
        <v>165770</v>
      </c>
      <c r="R83" s="232"/>
    </row>
    <row r="84" spans="1:18">
      <c r="A84" s="25" t="s">
        <v>42</v>
      </c>
    </row>
    <row r="85" spans="1:18">
      <c r="A85" s="25" t="s">
        <v>40</v>
      </c>
    </row>
    <row r="86" spans="1:18">
      <c r="A86" s="25" t="s">
        <v>41</v>
      </c>
    </row>
    <row r="87" spans="1:18">
      <c r="A87" s="25" t="s">
        <v>84</v>
      </c>
    </row>
  </sheetData>
  <mergeCells count="66">
    <mergeCell ref="N5:O5"/>
    <mergeCell ref="P5:Q5"/>
    <mergeCell ref="R5:R6"/>
    <mergeCell ref="A7:A33"/>
    <mergeCell ref="B7:B15"/>
    <mergeCell ref="C7:C10"/>
    <mergeCell ref="D10:E10"/>
    <mergeCell ref="C11:C14"/>
    <mergeCell ref="D14:E14"/>
    <mergeCell ref="C15:E15"/>
    <mergeCell ref="A5:D6"/>
    <mergeCell ref="E5:E6"/>
    <mergeCell ref="F5:G5"/>
    <mergeCell ref="H5:I5"/>
    <mergeCell ref="J5:K5"/>
    <mergeCell ref="L5:M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82:E82"/>
    <mergeCell ref="A83:E83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7D09-5C18-4A07-81E2-2D0618E480B4}">
  <dimension ref="A1:R87"/>
  <sheetViews>
    <sheetView showGridLines="0" zoomScale="70" zoomScaleNormal="70" workbookViewId="0">
      <selection activeCell="V7" sqref="V7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spans="1:18" ht="20.25">
      <c r="A1" s="26" t="s">
        <v>85</v>
      </c>
    </row>
    <row r="2" spans="1:18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spans="1:18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</row>
    <row r="4" spans="1:18" ht="17.25" thickBot="1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7" t="s">
        <v>1</v>
      </c>
    </row>
    <row r="5" spans="1:18" ht="23.25" customHeight="1">
      <c r="A5" s="289" t="s">
        <v>2</v>
      </c>
      <c r="B5" s="290"/>
      <c r="C5" s="290"/>
      <c r="D5" s="291"/>
      <c r="E5" s="295" t="s">
        <v>3</v>
      </c>
      <c r="F5" s="297" t="s">
        <v>86</v>
      </c>
      <c r="G5" s="298"/>
      <c r="H5" s="299" t="s">
        <v>87</v>
      </c>
      <c r="I5" s="300"/>
      <c r="J5" s="301" t="s">
        <v>69</v>
      </c>
      <c r="K5" s="285"/>
      <c r="L5" s="284" t="s">
        <v>88</v>
      </c>
      <c r="M5" s="285"/>
      <c r="N5" s="284" t="s">
        <v>4</v>
      </c>
      <c r="O5" s="285"/>
      <c r="P5" s="284" t="s">
        <v>72</v>
      </c>
      <c r="Q5" s="285"/>
      <c r="R5" s="286" t="s">
        <v>5</v>
      </c>
    </row>
    <row r="6" spans="1:18">
      <c r="A6" s="292"/>
      <c r="B6" s="293"/>
      <c r="C6" s="293"/>
      <c r="D6" s="294"/>
      <c r="E6" s="296"/>
      <c r="F6" s="222" t="s">
        <v>6</v>
      </c>
      <c r="G6" s="194" t="s">
        <v>7</v>
      </c>
      <c r="H6" s="227" t="s">
        <v>8</v>
      </c>
      <c r="I6" s="228" t="s">
        <v>9</v>
      </c>
      <c r="J6" s="226" t="s">
        <v>8</v>
      </c>
      <c r="K6" s="223" t="s">
        <v>9</v>
      </c>
      <c r="L6" s="224" t="s">
        <v>8</v>
      </c>
      <c r="M6" s="223" t="s">
        <v>9</v>
      </c>
      <c r="N6" s="224" t="s">
        <v>8</v>
      </c>
      <c r="O6" s="223" t="s">
        <v>9</v>
      </c>
      <c r="P6" s="224" t="s">
        <v>8</v>
      </c>
      <c r="Q6" s="223" t="s">
        <v>9</v>
      </c>
      <c r="R6" s="287"/>
    </row>
    <row r="7" spans="1:18">
      <c r="A7" s="288" t="s">
        <v>10</v>
      </c>
      <c r="B7" s="258" t="s">
        <v>11</v>
      </c>
      <c r="C7" s="261" t="s">
        <v>12</v>
      </c>
      <c r="D7" s="213" t="s">
        <v>13</v>
      </c>
      <c r="E7" s="68">
        <v>275</v>
      </c>
      <c r="F7" s="13">
        <v>0</v>
      </c>
      <c r="G7" s="14">
        <f>F7*E7</f>
        <v>0</v>
      </c>
      <c r="H7" s="15">
        <f>F7</f>
        <v>0</v>
      </c>
      <c r="I7" s="16">
        <f>H7*E7</f>
        <v>0</v>
      </c>
      <c r="J7" s="205" t="str">
        <f t="shared" ref="J7:K70" si="0">IFERROR(H7/L7-1,"-")</f>
        <v>-</v>
      </c>
      <c r="K7" s="206" t="str">
        <f t="shared" si="0"/>
        <v>-</v>
      </c>
      <c r="L7" s="84">
        <v>0</v>
      </c>
      <c r="M7" s="81"/>
      <c r="N7" s="19">
        <f t="shared" ref="N7:O38" si="1">IFERROR(H7/P7-1,"-")</f>
        <v>-1</v>
      </c>
      <c r="O7" s="87">
        <f t="shared" si="1"/>
        <v>-1</v>
      </c>
      <c r="P7" s="84">
        <f>3+5</f>
        <v>8</v>
      </c>
      <c r="Q7" s="81">
        <f>690+1210</f>
        <v>1900</v>
      </c>
      <c r="R7" s="184" t="s">
        <v>14</v>
      </c>
    </row>
    <row r="8" spans="1:18">
      <c r="A8" s="268"/>
      <c r="B8" s="259"/>
      <c r="C8" s="262"/>
      <c r="D8" s="214" t="s">
        <v>15</v>
      </c>
      <c r="E8" s="69">
        <v>180</v>
      </c>
      <c r="F8" s="12">
        <v>0</v>
      </c>
      <c r="G8" s="150">
        <v>0</v>
      </c>
      <c r="H8" s="10">
        <v>0</v>
      </c>
      <c r="I8" s="11">
        <f>H8*E8</f>
        <v>0</v>
      </c>
      <c r="J8" s="195">
        <f t="shared" si="0"/>
        <v>-1</v>
      </c>
      <c r="K8" s="196">
        <f t="shared" si="0"/>
        <v>-1</v>
      </c>
      <c r="L8" s="85">
        <v>1</v>
      </c>
      <c r="M8" s="82">
        <v>170</v>
      </c>
      <c r="N8" s="77" t="str">
        <f t="shared" si="1"/>
        <v>-</v>
      </c>
      <c r="O8" s="88" t="str">
        <f t="shared" si="1"/>
        <v>-</v>
      </c>
      <c r="P8" s="85">
        <v>0</v>
      </c>
      <c r="Q8" s="82">
        <v>0</v>
      </c>
      <c r="R8" s="185"/>
    </row>
    <row r="9" spans="1:18">
      <c r="A9" s="268"/>
      <c r="B9" s="259"/>
      <c r="C9" s="262"/>
      <c r="D9" s="214" t="s">
        <v>37</v>
      </c>
      <c r="E9" s="69">
        <v>420</v>
      </c>
      <c r="F9" s="12">
        <v>0</v>
      </c>
      <c r="G9" s="150">
        <f>F9*E9</f>
        <v>0</v>
      </c>
      <c r="H9" s="10">
        <v>0</v>
      </c>
      <c r="I9" s="11">
        <f>H9*E9</f>
        <v>0</v>
      </c>
      <c r="J9" s="195" t="str">
        <f t="shared" si="0"/>
        <v>-</v>
      </c>
      <c r="K9" s="196" t="str">
        <f t="shared" si="0"/>
        <v>-</v>
      </c>
      <c r="L9" s="85">
        <v>0</v>
      </c>
      <c r="M9" s="82">
        <v>0</v>
      </c>
      <c r="N9" s="77">
        <f t="shared" si="1"/>
        <v>-1</v>
      </c>
      <c r="O9" s="88">
        <f t="shared" si="1"/>
        <v>-1</v>
      </c>
      <c r="P9" s="85">
        <v>1</v>
      </c>
      <c r="Q9" s="82">
        <v>430</v>
      </c>
      <c r="R9" s="185"/>
    </row>
    <row r="10" spans="1:18">
      <c r="A10" s="268"/>
      <c r="B10" s="259"/>
      <c r="C10" s="263"/>
      <c r="D10" s="250" t="s">
        <v>16</v>
      </c>
      <c r="E10" s="251"/>
      <c r="F10" s="65">
        <f>SUM(F7:F9)</f>
        <v>0</v>
      </c>
      <c r="G10" s="151">
        <f>SUM(G7:G9)</f>
        <v>0</v>
      </c>
      <c r="H10" s="164">
        <f>SUM(H7:H9)</f>
        <v>0</v>
      </c>
      <c r="I10" s="165">
        <f>SUM(I7:I9)</f>
        <v>0</v>
      </c>
      <c r="J10" s="209">
        <f t="shared" si="0"/>
        <v>-1</v>
      </c>
      <c r="K10" s="210">
        <f t="shared" si="0"/>
        <v>-1</v>
      </c>
      <c r="L10" s="65">
        <f>SUM(L7:L9)</f>
        <v>1</v>
      </c>
      <c r="M10" s="74">
        <f>SUM(M7:M9)</f>
        <v>170</v>
      </c>
      <c r="N10" s="78">
        <f t="shared" si="1"/>
        <v>-1</v>
      </c>
      <c r="O10" s="89">
        <f t="shared" si="1"/>
        <v>-1</v>
      </c>
      <c r="P10" s="65">
        <f>SUM(P7:P9)</f>
        <v>9</v>
      </c>
      <c r="Q10" s="74">
        <f>SUM(Q7:Q9)</f>
        <v>2330</v>
      </c>
      <c r="R10" s="185"/>
    </row>
    <row r="11" spans="1:18">
      <c r="A11" s="268"/>
      <c r="B11" s="259"/>
      <c r="C11" s="261" t="s">
        <v>17</v>
      </c>
      <c r="D11" s="215" t="s">
        <v>18</v>
      </c>
      <c r="E11" s="70">
        <v>550</v>
      </c>
      <c r="F11" s="5">
        <v>0</v>
      </c>
      <c r="G11" s="6">
        <f>F11*E11</f>
        <v>0</v>
      </c>
      <c r="H11" s="7">
        <v>7</v>
      </c>
      <c r="I11" s="8">
        <f>H11*E11</f>
        <v>3850</v>
      </c>
      <c r="J11" s="197">
        <f>IFERROR(H11/L11-1,"-")</f>
        <v>-0.30000000000000004</v>
      </c>
      <c r="K11" s="198">
        <f t="shared" si="0"/>
        <v>-0.27358490566037741</v>
      </c>
      <c r="L11" s="86">
        <v>10</v>
      </c>
      <c r="M11" s="83">
        <v>5300</v>
      </c>
      <c r="N11" s="9">
        <f t="shared" si="1"/>
        <v>-0.65</v>
      </c>
      <c r="O11" s="90">
        <f t="shared" si="1"/>
        <v>-0.6367924528301887</v>
      </c>
      <c r="P11" s="86">
        <v>20</v>
      </c>
      <c r="Q11" s="83">
        <f>1060+9540</f>
        <v>10600</v>
      </c>
      <c r="R11" s="185"/>
    </row>
    <row r="12" spans="1:18">
      <c r="A12" s="268"/>
      <c r="B12" s="259"/>
      <c r="C12" s="262"/>
      <c r="D12" s="214" t="s">
        <v>19</v>
      </c>
      <c r="E12" s="69">
        <v>675</v>
      </c>
      <c r="F12" s="12">
        <v>2</v>
      </c>
      <c r="G12" s="150">
        <f>F12*E12</f>
        <v>1350</v>
      </c>
      <c r="H12" s="10">
        <v>7</v>
      </c>
      <c r="I12" s="11">
        <f>H12*E12</f>
        <v>4725</v>
      </c>
      <c r="J12" s="195">
        <f t="shared" si="0"/>
        <v>-0.22222222222222221</v>
      </c>
      <c r="K12" s="196">
        <f t="shared" si="0"/>
        <v>-0.1796875</v>
      </c>
      <c r="L12" s="85">
        <v>9</v>
      </c>
      <c r="M12" s="82">
        <v>5760</v>
      </c>
      <c r="N12" s="77">
        <f t="shared" si="1"/>
        <v>-0.75</v>
      </c>
      <c r="O12" s="88">
        <f t="shared" si="1"/>
        <v>-0.7265625</v>
      </c>
      <c r="P12" s="85">
        <v>28</v>
      </c>
      <c r="Q12" s="82">
        <f>9600+7680</f>
        <v>17280</v>
      </c>
      <c r="R12" s="185"/>
    </row>
    <row r="13" spans="1:18">
      <c r="A13" s="268"/>
      <c r="B13" s="259"/>
      <c r="C13" s="262"/>
      <c r="D13" s="214" t="s">
        <v>38</v>
      </c>
      <c r="E13" s="69">
        <v>810</v>
      </c>
      <c r="F13" s="12">
        <v>0</v>
      </c>
      <c r="G13" s="150">
        <f>F13*E13</f>
        <v>0</v>
      </c>
      <c r="H13" s="10">
        <v>3</v>
      </c>
      <c r="I13" s="11">
        <f>H13*E13</f>
        <v>2430</v>
      </c>
      <c r="J13" s="195" t="str">
        <f t="shared" si="0"/>
        <v>-</v>
      </c>
      <c r="K13" s="196" t="str">
        <f t="shared" si="0"/>
        <v>-</v>
      </c>
      <c r="L13" s="85">
        <v>0</v>
      </c>
      <c r="M13" s="82">
        <v>0</v>
      </c>
      <c r="N13" s="77" t="str">
        <f t="shared" si="1"/>
        <v>-</v>
      </c>
      <c r="O13" s="88" t="str">
        <f t="shared" si="1"/>
        <v>-</v>
      </c>
      <c r="P13" s="85">
        <v>0</v>
      </c>
      <c r="Q13" s="82">
        <v>0</v>
      </c>
      <c r="R13" s="185"/>
    </row>
    <row r="14" spans="1:18">
      <c r="A14" s="268"/>
      <c r="B14" s="259"/>
      <c r="C14" s="263"/>
      <c r="D14" s="250" t="s">
        <v>16</v>
      </c>
      <c r="E14" s="251"/>
      <c r="F14" s="65">
        <f>SUM(F11:F13)</f>
        <v>2</v>
      </c>
      <c r="G14" s="151">
        <f>SUM(G11:G13)</f>
        <v>1350</v>
      </c>
      <c r="H14" s="164">
        <f>SUM(H11:H13)</f>
        <v>17</v>
      </c>
      <c r="I14" s="165">
        <f>SUM(I11:I13)</f>
        <v>11005</v>
      </c>
      <c r="J14" s="209">
        <f t="shared" si="0"/>
        <v>-0.10526315789473684</v>
      </c>
      <c r="K14" s="210">
        <f t="shared" si="0"/>
        <v>-4.9728752260397302E-3</v>
      </c>
      <c r="L14" s="65">
        <f>SUM(L11:L13)</f>
        <v>19</v>
      </c>
      <c r="M14" s="74">
        <f>SUM(M11:M13)</f>
        <v>11060</v>
      </c>
      <c r="N14" s="78">
        <f t="shared" si="1"/>
        <v>-0.64583333333333326</v>
      </c>
      <c r="O14" s="89">
        <f t="shared" si="1"/>
        <v>-0.60527259684361545</v>
      </c>
      <c r="P14" s="65">
        <f>SUM(P11:P13)</f>
        <v>48</v>
      </c>
      <c r="Q14" s="74">
        <f>SUM(Q11:Q13)</f>
        <v>27880</v>
      </c>
      <c r="R14" s="185"/>
    </row>
    <row r="15" spans="1:18">
      <c r="A15" s="268"/>
      <c r="B15" s="260"/>
      <c r="C15" s="255" t="s">
        <v>20</v>
      </c>
      <c r="D15" s="256"/>
      <c r="E15" s="257"/>
      <c r="F15" s="102">
        <f>SUM(F10,F14)</f>
        <v>2</v>
      </c>
      <c r="G15" s="159">
        <f>SUM(G10,G14)</f>
        <v>1350</v>
      </c>
      <c r="H15" s="175">
        <f>H14+H10</f>
        <v>17</v>
      </c>
      <c r="I15" s="176">
        <f>I14+I10</f>
        <v>11005</v>
      </c>
      <c r="J15" s="211">
        <f t="shared" si="0"/>
        <v>-0.15000000000000002</v>
      </c>
      <c r="K15" s="212">
        <f t="shared" si="0"/>
        <v>-2.0035618878005312E-2</v>
      </c>
      <c r="L15" s="102">
        <f>L14+L10</f>
        <v>20</v>
      </c>
      <c r="M15" s="119">
        <f>M14+M10</f>
        <v>11230</v>
      </c>
      <c r="N15" s="122">
        <f t="shared" si="1"/>
        <v>-0.70175438596491224</v>
      </c>
      <c r="O15" s="126">
        <f t="shared" si="1"/>
        <v>-0.63571665011585565</v>
      </c>
      <c r="P15" s="102">
        <f>SUM(P10,P14)</f>
        <v>57</v>
      </c>
      <c r="Q15" s="119">
        <f>SUM(Q10,Q14)</f>
        <v>30210</v>
      </c>
      <c r="R15" s="191"/>
    </row>
    <row r="16" spans="1:18">
      <c r="A16" s="268"/>
      <c r="B16" s="258" t="s">
        <v>21</v>
      </c>
      <c r="C16" s="261" t="s">
        <v>12</v>
      </c>
      <c r="D16" s="215" t="s">
        <v>13</v>
      </c>
      <c r="E16" s="70">
        <v>190</v>
      </c>
      <c r="F16" s="5">
        <v>0</v>
      </c>
      <c r="G16" s="6">
        <f>F16*E16</f>
        <v>0</v>
      </c>
      <c r="H16" s="7">
        <v>0</v>
      </c>
      <c r="I16" s="8">
        <f>H16*E16</f>
        <v>0</v>
      </c>
      <c r="J16" s="197">
        <f t="shared" si="0"/>
        <v>-1</v>
      </c>
      <c r="K16" s="198">
        <f t="shared" si="0"/>
        <v>-1</v>
      </c>
      <c r="L16" s="86">
        <v>1</v>
      </c>
      <c r="M16" s="83">
        <v>190</v>
      </c>
      <c r="N16" s="9">
        <f t="shared" si="1"/>
        <v>-1</v>
      </c>
      <c r="O16" s="90">
        <f t="shared" si="1"/>
        <v>-1</v>
      </c>
      <c r="P16" s="86">
        <v>5</v>
      </c>
      <c r="Q16" s="83">
        <v>670</v>
      </c>
      <c r="R16" s="185" t="s">
        <v>22</v>
      </c>
    </row>
    <row r="17" spans="1:18">
      <c r="A17" s="268"/>
      <c r="B17" s="259"/>
      <c r="C17" s="262"/>
      <c r="D17" s="214" t="s">
        <v>15</v>
      </c>
      <c r="E17" s="69">
        <v>120</v>
      </c>
      <c r="F17" s="12">
        <v>0</v>
      </c>
      <c r="G17" s="150">
        <f>F17*E17</f>
        <v>0</v>
      </c>
      <c r="H17" s="10">
        <v>0</v>
      </c>
      <c r="I17" s="11">
        <f>H17*E17</f>
        <v>0</v>
      </c>
      <c r="J17" s="195">
        <f t="shared" si="0"/>
        <v>-1</v>
      </c>
      <c r="K17" s="196">
        <f t="shared" si="0"/>
        <v>-1</v>
      </c>
      <c r="L17" s="85">
        <v>1</v>
      </c>
      <c r="M17" s="82">
        <v>120</v>
      </c>
      <c r="N17" s="77">
        <f t="shared" si="1"/>
        <v>-1</v>
      </c>
      <c r="O17" s="88">
        <f t="shared" si="1"/>
        <v>-1</v>
      </c>
      <c r="P17" s="85">
        <v>3</v>
      </c>
      <c r="Q17" s="82">
        <v>430</v>
      </c>
      <c r="R17" s="185"/>
    </row>
    <row r="18" spans="1:18">
      <c r="A18" s="268"/>
      <c r="B18" s="259"/>
      <c r="C18" s="262"/>
      <c r="D18" s="214" t="s">
        <v>37</v>
      </c>
      <c r="E18" s="69">
        <v>300</v>
      </c>
      <c r="F18" s="12">
        <v>0</v>
      </c>
      <c r="G18" s="150">
        <f>F18*E18</f>
        <v>0</v>
      </c>
      <c r="H18" s="10">
        <v>0</v>
      </c>
      <c r="I18" s="11">
        <f>H18*E18</f>
        <v>0</v>
      </c>
      <c r="J18" s="195" t="str">
        <f t="shared" si="0"/>
        <v>-</v>
      </c>
      <c r="K18" s="196" t="str">
        <f t="shared" si="0"/>
        <v>-</v>
      </c>
      <c r="L18" s="85">
        <v>0</v>
      </c>
      <c r="M18" s="82">
        <v>0</v>
      </c>
      <c r="N18" s="77" t="str">
        <f t="shared" si="1"/>
        <v>-</v>
      </c>
      <c r="O18" s="88" t="str">
        <f t="shared" si="1"/>
        <v>-</v>
      </c>
      <c r="P18" s="85">
        <v>0</v>
      </c>
      <c r="Q18" s="82">
        <v>0</v>
      </c>
      <c r="R18" s="185" t="s">
        <v>23</v>
      </c>
    </row>
    <row r="19" spans="1:18">
      <c r="A19" s="268"/>
      <c r="B19" s="259"/>
      <c r="C19" s="263"/>
      <c r="D19" s="250" t="s">
        <v>16</v>
      </c>
      <c r="E19" s="251"/>
      <c r="F19" s="65">
        <f>SUM(F16:F18)</f>
        <v>0</v>
      </c>
      <c r="G19" s="151">
        <f>SUM(G16:G18)</f>
        <v>0</v>
      </c>
      <c r="H19" s="164">
        <f>SUM(H16:H18)</f>
        <v>0</v>
      </c>
      <c r="I19" s="165">
        <f>SUM(I16:I18)</f>
        <v>0</v>
      </c>
      <c r="J19" s="209">
        <f t="shared" si="0"/>
        <v>-1</v>
      </c>
      <c r="K19" s="210">
        <f t="shared" si="0"/>
        <v>-1</v>
      </c>
      <c r="L19" s="65">
        <f>SUM(L16:L18)</f>
        <v>2</v>
      </c>
      <c r="M19" s="74">
        <f>SUM(M16:M18)</f>
        <v>310</v>
      </c>
      <c r="N19" s="78">
        <f t="shared" si="1"/>
        <v>-1</v>
      </c>
      <c r="O19" s="89">
        <f t="shared" si="1"/>
        <v>-1</v>
      </c>
      <c r="P19" s="65">
        <f>SUM(P16:P18)</f>
        <v>8</v>
      </c>
      <c r="Q19" s="74">
        <f>SUM(Q16:Q18)</f>
        <v>1100</v>
      </c>
      <c r="R19" s="185" t="s">
        <v>24</v>
      </c>
    </row>
    <row r="20" spans="1:18">
      <c r="A20" s="268"/>
      <c r="B20" s="259"/>
      <c r="C20" s="261" t="s">
        <v>17</v>
      </c>
      <c r="D20" s="215" t="s">
        <v>18</v>
      </c>
      <c r="E20" s="70">
        <v>440</v>
      </c>
      <c r="F20" s="5">
        <v>0</v>
      </c>
      <c r="G20" s="6">
        <f>F20*E20</f>
        <v>0</v>
      </c>
      <c r="H20" s="7">
        <v>1</v>
      </c>
      <c r="I20" s="8">
        <f>H20*E20</f>
        <v>440</v>
      </c>
      <c r="J20" s="197">
        <f t="shared" si="0"/>
        <v>-0.8</v>
      </c>
      <c r="K20" s="198">
        <f t="shared" si="0"/>
        <v>-0.8</v>
      </c>
      <c r="L20" s="86">
        <v>5</v>
      </c>
      <c r="M20" s="83">
        <v>2200</v>
      </c>
      <c r="N20" s="9">
        <f t="shared" si="1"/>
        <v>-0.94117647058823528</v>
      </c>
      <c r="O20" s="90">
        <f t="shared" si="1"/>
        <v>-0.94117647058823528</v>
      </c>
      <c r="P20" s="86">
        <f>16+1</f>
        <v>17</v>
      </c>
      <c r="Q20" s="83">
        <f>1320+5720+440</f>
        <v>7480</v>
      </c>
      <c r="R20" s="185" t="s">
        <v>25</v>
      </c>
    </row>
    <row r="21" spans="1:18">
      <c r="A21" s="268"/>
      <c r="B21" s="259"/>
      <c r="C21" s="262"/>
      <c r="D21" s="214" t="s">
        <v>19</v>
      </c>
      <c r="E21" s="69">
        <v>520</v>
      </c>
      <c r="F21" s="12">
        <v>0</v>
      </c>
      <c r="G21" s="150">
        <f>F21*E21</f>
        <v>0</v>
      </c>
      <c r="H21" s="10">
        <v>2</v>
      </c>
      <c r="I21" s="11">
        <f>H21*E21</f>
        <v>1040</v>
      </c>
      <c r="J21" s="195">
        <f t="shared" si="0"/>
        <v>-0.66666666666666674</v>
      </c>
      <c r="K21" s="196">
        <f t="shared" si="0"/>
        <v>-0.66666666666666674</v>
      </c>
      <c r="L21" s="85">
        <v>6</v>
      </c>
      <c r="M21" s="82">
        <v>3120</v>
      </c>
      <c r="N21" s="77">
        <f t="shared" si="1"/>
        <v>-0.84615384615384615</v>
      </c>
      <c r="O21" s="88">
        <f t="shared" si="1"/>
        <v>-0.84615384615384615</v>
      </c>
      <c r="P21" s="85">
        <f>9+4</f>
        <v>13</v>
      </c>
      <c r="Q21" s="82">
        <f>1560+3120+2080</f>
        <v>6760</v>
      </c>
      <c r="R21" s="185"/>
    </row>
    <row r="22" spans="1:18">
      <c r="A22" s="268"/>
      <c r="B22" s="259"/>
      <c r="C22" s="262"/>
      <c r="D22" s="214" t="s">
        <v>38</v>
      </c>
      <c r="E22" s="69">
        <v>600</v>
      </c>
      <c r="F22" s="12">
        <v>0</v>
      </c>
      <c r="G22" s="150">
        <f>F22*E22</f>
        <v>0</v>
      </c>
      <c r="H22" s="10">
        <v>0</v>
      </c>
      <c r="I22" s="11">
        <f>H22*E22</f>
        <v>0</v>
      </c>
      <c r="J22" s="195" t="str">
        <f t="shared" si="0"/>
        <v>-</v>
      </c>
      <c r="K22" s="196" t="str">
        <f t="shared" si="0"/>
        <v>-</v>
      </c>
      <c r="L22" s="85">
        <v>0</v>
      </c>
      <c r="M22" s="82">
        <v>0</v>
      </c>
      <c r="N22" s="77" t="str">
        <f t="shared" si="1"/>
        <v>-</v>
      </c>
      <c r="O22" s="88" t="str">
        <f t="shared" si="1"/>
        <v>-</v>
      </c>
      <c r="P22" s="85">
        <v>0</v>
      </c>
      <c r="Q22" s="82">
        <v>0</v>
      </c>
      <c r="R22" s="185"/>
    </row>
    <row r="23" spans="1:18">
      <c r="A23" s="268"/>
      <c r="B23" s="259"/>
      <c r="C23" s="263"/>
      <c r="D23" s="250" t="s">
        <v>16</v>
      </c>
      <c r="E23" s="251"/>
      <c r="F23" s="65">
        <f>SUM(F20:F22)</f>
        <v>0</v>
      </c>
      <c r="G23" s="151">
        <f>SUM(G20:G22)</f>
        <v>0</v>
      </c>
      <c r="H23" s="164">
        <f>SUM(H20:H22)</f>
        <v>3</v>
      </c>
      <c r="I23" s="165">
        <f>SUM(I20:I22)</f>
        <v>1480</v>
      </c>
      <c r="J23" s="209">
        <f t="shared" si="0"/>
        <v>-0.72727272727272729</v>
      </c>
      <c r="K23" s="210">
        <f t="shared" si="0"/>
        <v>-0.72180451127819545</v>
      </c>
      <c r="L23" s="65">
        <f>SUM(L20:L22)</f>
        <v>11</v>
      </c>
      <c r="M23" s="74">
        <f>SUM(M20:M22)</f>
        <v>5320</v>
      </c>
      <c r="N23" s="78">
        <f t="shared" si="1"/>
        <v>-0.9</v>
      </c>
      <c r="O23" s="89">
        <f t="shared" si="1"/>
        <v>-0.8960674157303371</v>
      </c>
      <c r="P23" s="65">
        <f>SUM(P20:P22)</f>
        <v>30</v>
      </c>
      <c r="Q23" s="74">
        <f>SUM(Q20:Q22)</f>
        <v>14240</v>
      </c>
      <c r="R23" s="185"/>
    </row>
    <row r="24" spans="1:18">
      <c r="A24" s="268"/>
      <c r="B24" s="260"/>
      <c r="C24" s="255" t="s">
        <v>20</v>
      </c>
      <c r="D24" s="256"/>
      <c r="E24" s="257"/>
      <c r="F24" s="102">
        <f>SUM(F19,F23)</f>
        <v>0</v>
      </c>
      <c r="G24" s="159">
        <f>SUM(G19,G23)</f>
        <v>0</v>
      </c>
      <c r="H24" s="175">
        <f>H23+H19</f>
        <v>3</v>
      </c>
      <c r="I24" s="176">
        <f>I23+I19</f>
        <v>1480</v>
      </c>
      <c r="J24" s="211">
        <f t="shared" si="0"/>
        <v>-0.76923076923076916</v>
      </c>
      <c r="K24" s="212">
        <f t="shared" si="0"/>
        <v>-0.73712255772646529</v>
      </c>
      <c r="L24" s="102">
        <f>L23+L19</f>
        <v>13</v>
      </c>
      <c r="M24" s="119">
        <f>M23+M19</f>
        <v>5630</v>
      </c>
      <c r="N24" s="122">
        <f t="shared" si="1"/>
        <v>-0.92105263157894735</v>
      </c>
      <c r="O24" s="126">
        <f t="shared" si="1"/>
        <v>-0.90352020860495441</v>
      </c>
      <c r="P24" s="102">
        <f>SUM(P19,P23)</f>
        <v>38</v>
      </c>
      <c r="Q24" s="119">
        <f>SUM(Q19,Q23)</f>
        <v>15340</v>
      </c>
      <c r="R24" s="191"/>
    </row>
    <row r="25" spans="1:18">
      <c r="A25" s="268"/>
      <c r="B25" s="258" t="s">
        <v>26</v>
      </c>
      <c r="C25" s="261" t="s">
        <v>12</v>
      </c>
      <c r="D25" s="215" t="s">
        <v>13</v>
      </c>
      <c r="E25" s="70">
        <v>190</v>
      </c>
      <c r="F25" s="5">
        <v>0</v>
      </c>
      <c r="G25" s="6">
        <f>F25*E25</f>
        <v>0</v>
      </c>
      <c r="H25" s="7">
        <v>1</v>
      </c>
      <c r="I25" s="8">
        <f>H25*E25</f>
        <v>190</v>
      </c>
      <c r="J25" s="197">
        <f t="shared" si="0"/>
        <v>-0.88888888888888884</v>
      </c>
      <c r="K25" s="198">
        <f t="shared" si="0"/>
        <v>-0.88888888888888884</v>
      </c>
      <c r="L25" s="86">
        <v>9</v>
      </c>
      <c r="M25" s="83">
        <v>1710</v>
      </c>
      <c r="N25" s="9">
        <f t="shared" si="1"/>
        <v>-0.94736842105263164</v>
      </c>
      <c r="O25" s="90">
        <f t="shared" si="1"/>
        <v>-0.93470790378006874</v>
      </c>
      <c r="P25" s="86">
        <v>19</v>
      </c>
      <c r="Q25" s="83">
        <v>2910</v>
      </c>
      <c r="R25" s="185" t="s">
        <v>22</v>
      </c>
    </row>
    <row r="26" spans="1:18">
      <c r="A26" s="268"/>
      <c r="B26" s="259"/>
      <c r="C26" s="262"/>
      <c r="D26" s="214" t="s">
        <v>15</v>
      </c>
      <c r="E26" s="69">
        <v>120</v>
      </c>
      <c r="F26" s="12">
        <v>0</v>
      </c>
      <c r="G26" s="150">
        <f>F26*E26</f>
        <v>0</v>
      </c>
      <c r="H26" s="10">
        <v>3</v>
      </c>
      <c r="I26" s="11">
        <f>H26*E26</f>
        <v>360</v>
      </c>
      <c r="J26" s="195">
        <f t="shared" si="0"/>
        <v>-0.5714285714285714</v>
      </c>
      <c r="K26" s="196">
        <f t="shared" si="0"/>
        <v>-0.5714285714285714</v>
      </c>
      <c r="L26" s="85">
        <v>7</v>
      </c>
      <c r="M26" s="82">
        <v>840</v>
      </c>
      <c r="N26" s="77" t="str">
        <f t="shared" si="1"/>
        <v>-</v>
      </c>
      <c r="O26" s="88" t="str">
        <f t="shared" si="1"/>
        <v>-</v>
      </c>
      <c r="P26" s="85">
        <v>0</v>
      </c>
      <c r="Q26" s="82">
        <v>0</v>
      </c>
      <c r="R26" s="185"/>
    </row>
    <row r="27" spans="1:18">
      <c r="A27" s="268"/>
      <c r="B27" s="259"/>
      <c r="C27" s="262"/>
      <c r="D27" s="214" t="s">
        <v>37</v>
      </c>
      <c r="E27" s="69">
        <v>300</v>
      </c>
      <c r="F27" s="12">
        <v>0</v>
      </c>
      <c r="G27" s="150">
        <f>F27*E27</f>
        <v>0</v>
      </c>
      <c r="H27" s="10">
        <v>5</v>
      </c>
      <c r="I27" s="11">
        <f>H27*E27</f>
        <v>1500</v>
      </c>
      <c r="J27" s="195" t="str">
        <f t="shared" si="0"/>
        <v>-</v>
      </c>
      <c r="K27" s="196" t="str">
        <f t="shared" si="0"/>
        <v>-</v>
      </c>
      <c r="L27" s="85">
        <v>0</v>
      </c>
      <c r="M27" s="82">
        <v>0</v>
      </c>
      <c r="N27" s="77">
        <f t="shared" si="1"/>
        <v>-0.2857142857142857</v>
      </c>
      <c r="O27" s="88">
        <f t="shared" si="1"/>
        <v>-0.30875576036866359</v>
      </c>
      <c r="P27" s="85">
        <v>7</v>
      </c>
      <c r="Q27" s="82">
        <v>2170</v>
      </c>
      <c r="R27" s="185" t="s">
        <v>27</v>
      </c>
    </row>
    <row r="28" spans="1:18">
      <c r="A28" s="268"/>
      <c r="B28" s="259"/>
      <c r="C28" s="263"/>
      <c r="D28" s="250" t="s">
        <v>16</v>
      </c>
      <c r="E28" s="251"/>
      <c r="F28" s="65">
        <f>SUM(F25:F27)</f>
        <v>0</v>
      </c>
      <c r="G28" s="151">
        <f>SUM(G25:G27)</f>
        <v>0</v>
      </c>
      <c r="H28" s="164">
        <f>SUM(H25:H27)</f>
        <v>9</v>
      </c>
      <c r="I28" s="165">
        <f>SUM(I25:I27)</f>
        <v>2050</v>
      </c>
      <c r="J28" s="209">
        <f t="shared" si="0"/>
        <v>-0.4375</v>
      </c>
      <c r="K28" s="210">
        <f t="shared" si="0"/>
        <v>-0.19607843137254899</v>
      </c>
      <c r="L28" s="65">
        <f>SUM(L25:L27)</f>
        <v>16</v>
      </c>
      <c r="M28" s="74">
        <f>SUM(M25:M27)</f>
        <v>2550</v>
      </c>
      <c r="N28" s="78">
        <f t="shared" si="1"/>
        <v>-0.65384615384615385</v>
      </c>
      <c r="O28" s="89">
        <f t="shared" si="1"/>
        <v>-0.59645669291338588</v>
      </c>
      <c r="P28" s="65">
        <f>SUM(P25:P27)</f>
        <v>26</v>
      </c>
      <c r="Q28" s="74">
        <f>SUM(Q25:Q27)</f>
        <v>5080</v>
      </c>
      <c r="R28" s="185"/>
    </row>
    <row r="29" spans="1:18">
      <c r="A29" s="268"/>
      <c r="B29" s="259"/>
      <c r="C29" s="261" t="s">
        <v>17</v>
      </c>
      <c r="D29" s="215" t="s">
        <v>18</v>
      </c>
      <c r="E29" s="70">
        <v>440</v>
      </c>
      <c r="F29" s="5">
        <v>1</v>
      </c>
      <c r="G29" s="6">
        <f>F29*E29</f>
        <v>440</v>
      </c>
      <c r="H29" s="7">
        <v>30</v>
      </c>
      <c r="I29" s="8">
        <f>H29*E29</f>
        <v>13200</v>
      </c>
      <c r="J29" s="197">
        <f t="shared" si="0"/>
        <v>-0.16666666666666663</v>
      </c>
      <c r="K29" s="198">
        <f t="shared" si="0"/>
        <v>-0.16666666666666663</v>
      </c>
      <c r="L29" s="86">
        <v>36</v>
      </c>
      <c r="M29" s="83">
        <v>15840</v>
      </c>
      <c r="N29" s="9">
        <f t="shared" si="1"/>
        <v>-0.44444444444444442</v>
      </c>
      <c r="O29" s="90">
        <f t="shared" si="1"/>
        <v>-0.44444444444444442</v>
      </c>
      <c r="P29" s="86">
        <v>54</v>
      </c>
      <c r="Q29" s="83">
        <v>23760</v>
      </c>
      <c r="R29" s="185"/>
    </row>
    <row r="30" spans="1:18">
      <c r="A30" s="268"/>
      <c r="B30" s="259"/>
      <c r="C30" s="262"/>
      <c r="D30" s="214" t="s">
        <v>19</v>
      </c>
      <c r="E30" s="69">
        <v>520</v>
      </c>
      <c r="F30" s="12">
        <v>5</v>
      </c>
      <c r="G30" s="150">
        <f>F30*E30</f>
        <v>2600</v>
      </c>
      <c r="H30" s="10">
        <v>19</v>
      </c>
      <c r="I30" s="11">
        <f>H30*E30</f>
        <v>9880</v>
      </c>
      <c r="J30" s="195">
        <f t="shared" si="0"/>
        <v>-0.40625</v>
      </c>
      <c r="K30" s="196">
        <f t="shared" si="0"/>
        <v>-0.40625</v>
      </c>
      <c r="L30" s="85">
        <v>32</v>
      </c>
      <c r="M30" s="82">
        <v>16640</v>
      </c>
      <c r="N30" s="77">
        <f t="shared" si="1"/>
        <v>-0.53658536585365857</v>
      </c>
      <c r="O30" s="88">
        <f t="shared" si="1"/>
        <v>-0.54761904761904767</v>
      </c>
      <c r="P30" s="85">
        <v>41</v>
      </c>
      <c r="Q30" s="82">
        <v>21840</v>
      </c>
      <c r="R30" s="185"/>
    </row>
    <row r="31" spans="1:18">
      <c r="A31" s="268"/>
      <c r="B31" s="259"/>
      <c r="C31" s="262"/>
      <c r="D31" s="214" t="s">
        <v>38</v>
      </c>
      <c r="E31" s="69">
        <v>600</v>
      </c>
      <c r="F31" s="12">
        <v>0</v>
      </c>
      <c r="G31" s="150">
        <f>F31*E31</f>
        <v>0</v>
      </c>
      <c r="H31" s="10">
        <v>6</v>
      </c>
      <c r="I31" s="11">
        <f>H31*E31</f>
        <v>3600</v>
      </c>
      <c r="J31" s="195" t="str">
        <f t="shared" si="0"/>
        <v>-</v>
      </c>
      <c r="K31" s="196" t="str">
        <f t="shared" si="0"/>
        <v>-</v>
      </c>
      <c r="L31" s="85">
        <v>0</v>
      </c>
      <c r="M31" s="82">
        <v>0</v>
      </c>
      <c r="N31" s="77" t="str">
        <f t="shared" si="1"/>
        <v>-</v>
      </c>
      <c r="O31" s="88" t="str">
        <f t="shared" si="1"/>
        <v>-</v>
      </c>
      <c r="P31" s="85">
        <v>0</v>
      </c>
      <c r="Q31" s="82">
        <v>0</v>
      </c>
      <c r="R31" s="185"/>
    </row>
    <row r="32" spans="1:18">
      <c r="A32" s="268"/>
      <c r="B32" s="259"/>
      <c r="C32" s="263"/>
      <c r="D32" s="250" t="s">
        <v>16</v>
      </c>
      <c r="E32" s="251"/>
      <c r="F32" s="65">
        <f>SUM(F29:F31)</f>
        <v>6</v>
      </c>
      <c r="G32" s="151">
        <f>SUM(G29:G31)</f>
        <v>3040</v>
      </c>
      <c r="H32" s="164">
        <f>SUM(H29:H31)</f>
        <v>55</v>
      </c>
      <c r="I32" s="165">
        <f>SUM(I29:I31)</f>
        <v>26680</v>
      </c>
      <c r="J32" s="209">
        <f t="shared" si="0"/>
        <v>-0.19117647058823528</v>
      </c>
      <c r="K32" s="210">
        <f t="shared" si="0"/>
        <v>-0.1785714285714286</v>
      </c>
      <c r="L32" s="65">
        <f>SUM(L29:L31)</f>
        <v>68</v>
      </c>
      <c r="M32" s="74">
        <f>SUM(M29:M31)</f>
        <v>32480</v>
      </c>
      <c r="N32" s="78">
        <f t="shared" si="1"/>
        <v>-0.42105263157894735</v>
      </c>
      <c r="O32" s="89">
        <f t="shared" si="1"/>
        <v>-0.41491228070175434</v>
      </c>
      <c r="P32" s="65">
        <f>SUM(P29:P31)</f>
        <v>95</v>
      </c>
      <c r="Q32" s="74">
        <f>SUM(Q29:Q31)</f>
        <v>45600</v>
      </c>
      <c r="R32" s="185"/>
    </row>
    <row r="33" spans="1:18">
      <c r="A33" s="269"/>
      <c r="B33" s="260"/>
      <c r="C33" s="255" t="s">
        <v>20</v>
      </c>
      <c r="D33" s="256"/>
      <c r="E33" s="257"/>
      <c r="F33" s="102">
        <f>SUM(F28,F32)</f>
        <v>6</v>
      </c>
      <c r="G33" s="159">
        <f>SUM(G28,G32)</f>
        <v>3040</v>
      </c>
      <c r="H33" s="175">
        <f>H32+H28</f>
        <v>64</v>
      </c>
      <c r="I33" s="176">
        <f>I32+I28</f>
        <v>28730</v>
      </c>
      <c r="J33" s="211">
        <f t="shared" si="0"/>
        <v>-0.23809523809523814</v>
      </c>
      <c r="K33" s="212">
        <f t="shared" si="0"/>
        <v>-0.17984584641735657</v>
      </c>
      <c r="L33" s="102">
        <f>L32+L28</f>
        <v>84</v>
      </c>
      <c r="M33" s="119">
        <f>M32+M28</f>
        <v>35030</v>
      </c>
      <c r="N33" s="122">
        <f t="shared" si="1"/>
        <v>-0.47107438016528924</v>
      </c>
      <c r="O33" s="126">
        <f t="shared" si="1"/>
        <v>-0.43310970797158643</v>
      </c>
      <c r="P33" s="102">
        <f>SUM(P28,P32)</f>
        <v>121</v>
      </c>
      <c r="Q33" s="119">
        <f>SUM(Q28,Q32)</f>
        <v>50680</v>
      </c>
      <c r="R33" s="191"/>
    </row>
    <row r="34" spans="1:18">
      <c r="A34" s="239" t="s">
        <v>28</v>
      </c>
      <c r="B34" s="240"/>
      <c r="C34" s="240"/>
      <c r="D34" s="240"/>
      <c r="E34" s="241"/>
      <c r="F34" s="97">
        <f>F15+F24+F33</f>
        <v>8</v>
      </c>
      <c r="G34" s="158">
        <f>G15+G24+G33</f>
        <v>4390</v>
      </c>
      <c r="H34" s="173">
        <f>H15+H24+H33</f>
        <v>84</v>
      </c>
      <c r="I34" s="174">
        <f>I15+I24+I33</f>
        <v>41215</v>
      </c>
      <c r="J34" s="207">
        <f t="shared" si="0"/>
        <v>-0.28205128205128205</v>
      </c>
      <c r="K34" s="208">
        <f t="shared" si="0"/>
        <v>-0.20572364617460015</v>
      </c>
      <c r="L34" s="97">
        <f>L15+L24+L33</f>
        <v>117</v>
      </c>
      <c r="M34" s="118">
        <f>M15+M24+M33</f>
        <v>51890</v>
      </c>
      <c r="N34" s="121">
        <f t="shared" si="1"/>
        <v>-0.61111111111111116</v>
      </c>
      <c r="O34" s="125">
        <f t="shared" si="1"/>
        <v>-0.57170321105684296</v>
      </c>
      <c r="P34" s="97">
        <f>P33+P24+P15</f>
        <v>216</v>
      </c>
      <c r="Q34" s="118">
        <f>Q33+Q24+Q15</f>
        <v>96230</v>
      </c>
      <c r="R34" s="185"/>
    </row>
    <row r="35" spans="1:18">
      <c r="A35" s="273" t="s">
        <v>46</v>
      </c>
      <c r="B35" s="276" t="s">
        <v>29</v>
      </c>
      <c r="C35" s="278" t="s">
        <v>30</v>
      </c>
      <c r="D35" s="193" t="s">
        <v>19</v>
      </c>
      <c r="E35" s="104">
        <v>990</v>
      </c>
      <c r="F35" s="98">
        <v>0</v>
      </c>
      <c r="G35" s="154">
        <f>F35*E35</f>
        <v>0</v>
      </c>
      <c r="H35" s="17">
        <v>16</v>
      </c>
      <c r="I35" s="18">
        <f>H35*E35</f>
        <v>15840</v>
      </c>
      <c r="J35" s="205">
        <f t="shared" si="0"/>
        <v>3</v>
      </c>
      <c r="K35" s="206">
        <f t="shared" si="0"/>
        <v>2.2999999999999998</v>
      </c>
      <c r="L35" s="98">
        <v>4</v>
      </c>
      <c r="M35" s="114">
        <v>4800</v>
      </c>
      <c r="N35" s="19">
        <f t="shared" si="1"/>
        <v>0.60000000000000009</v>
      </c>
      <c r="O35" s="87">
        <f t="shared" si="1"/>
        <v>0.10000000000000009</v>
      </c>
      <c r="P35" s="98">
        <v>10</v>
      </c>
      <c r="Q35" s="114">
        <v>14400</v>
      </c>
      <c r="R35" s="186"/>
    </row>
    <row r="36" spans="1:18">
      <c r="A36" s="274"/>
      <c r="B36" s="277"/>
      <c r="C36" s="279"/>
      <c r="D36" s="280" t="s">
        <v>16</v>
      </c>
      <c r="E36" s="281"/>
      <c r="F36" s="99">
        <f>F35</f>
        <v>0</v>
      </c>
      <c r="G36" s="155">
        <f>G35</f>
        <v>0</v>
      </c>
      <c r="H36" s="170">
        <f>H35</f>
        <v>16</v>
      </c>
      <c r="I36" s="171">
        <f>I35</f>
        <v>15840</v>
      </c>
      <c r="J36" s="209">
        <f t="shared" si="0"/>
        <v>3</v>
      </c>
      <c r="K36" s="210">
        <f t="shared" si="0"/>
        <v>2.2999999999999998</v>
      </c>
      <c r="L36" s="99">
        <f>L35</f>
        <v>4</v>
      </c>
      <c r="M36" s="115">
        <f>M35</f>
        <v>4800</v>
      </c>
      <c r="N36" s="78">
        <f t="shared" si="1"/>
        <v>0.60000000000000009</v>
      </c>
      <c r="O36" s="89">
        <f t="shared" si="1"/>
        <v>0.10000000000000009</v>
      </c>
      <c r="P36" s="99">
        <f>SUM(P35)</f>
        <v>10</v>
      </c>
      <c r="Q36" s="115">
        <f>SUM(Q35)</f>
        <v>14400</v>
      </c>
      <c r="R36" s="186"/>
    </row>
    <row r="37" spans="1:18" ht="16.5" hidden="1" customHeight="1">
      <c r="A37" s="274"/>
      <c r="B37" s="278" t="s">
        <v>31</v>
      </c>
      <c r="C37" s="273" t="s">
        <v>32</v>
      </c>
      <c r="D37" s="217" t="s">
        <v>33</v>
      </c>
      <c r="E37" s="106">
        <v>50</v>
      </c>
      <c r="F37" s="100"/>
      <c r="G37" s="156"/>
      <c r="H37" s="21"/>
      <c r="I37" s="28"/>
      <c r="J37" s="197" t="str">
        <f t="shared" si="0"/>
        <v>-</v>
      </c>
      <c r="K37" s="198" t="str">
        <f t="shared" si="0"/>
        <v>-</v>
      </c>
      <c r="L37" s="100"/>
      <c r="M37" s="116"/>
      <c r="N37" s="9">
        <f t="shared" si="1"/>
        <v>-1</v>
      </c>
      <c r="O37" s="90">
        <f t="shared" si="1"/>
        <v>-1</v>
      </c>
      <c r="P37" s="100">
        <v>6</v>
      </c>
      <c r="Q37" s="116">
        <v>300</v>
      </c>
      <c r="R37" s="186"/>
    </row>
    <row r="38" spans="1:18" ht="16.5" hidden="1" customHeight="1">
      <c r="A38" s="274"/>
      <c r="B38" s="282"/>
      <c r="C38" s="274"/>
      <c r="D38" s="218" t="s">
        <v>34</v>
      </c>
      <c r="E38" s="107">
        <v>100</v>
      </c>
      <c r="F38" s="101"/>
      <c r="G38" s="157"/>
      <c r="H38" s="20"/>
      <c r="I38" s="172"/>
      <c r="J38" s="195" t="str">
        <f t="shared" si="0"/>
        <v>-</v>
      </c>
      <c r="K38" s="196" t="str">
        <f t="shared" si="0"/>
        <v>-</v>
      </c>
      <c r="L38" s="101"/>
      <c r="M38" s="117"/>
      <c r="N38" s="77">
        <f t="shared" si="1"/>
        <v>-1</v>
      </c>
      <c r="O38" s="88">
        <f t="shared" si="1"/>
        <v>-1</v>
      </c>
      <c r="P38" s="101">
        <v>3</v>
      </c>
      <c r="Q38" s="117">
        <v>300</v>
      </c>
      <c r="R38" s="186"/>
    </row>
    <row r="39" spans="1:18" ht="16.5" hidden="1" customHeight="1">
      <c r="A39" s="274"/>
      <c r="B39" s="282"/>
      <c r="C39" s="274"/>
      <c r="D39" s="218" t="s">
        <v>18</v>
      </c>
      <c r="E39" s="107">
        <v>150</v>
      </c>
      <c r="F39" s="101"/>
      <c r="G39" s="157"/>
      <c r="H39" s="20"/>
      <c r="I39" s="172"/>
      <c r="J39" s="195" t="str">
        <f t="shared" si="0"/>
        <v>-</v>
      </c>
      <c r="K39" s="196" t="str">
        <f t="shared" si="0"/>
        <v>-</v>
      </c>
      <c r="L39" s="101"/>
      <c r="M39" s="117"/>
      <c r="N39" s="77">
        <f t="shared" ref="N39:O70" si="2">IFERROR(H39/P39-1,"-")</f>
        <v>-1</v>
      </c>
      <c r="O39" s="88">
        <f t="shared" si="2"/>
        <v>-1</v>
      </c>
      <c r="P39" s="101">
        <v>1</v>
      </c>
      <c r="Q39" s="117">
        <v>150</v>
      </c>
      <c r="R39" s="186"/>
    </row>
    <row r="40" spans="1:18" ht="16.5" hidden="1" customHeight="1">
      <c r="A40" s="274"/>
      <c r="B40" s="282"/>
      <c r="C40" s="274"/>
      <c r="D40" s="218" t="s">
        <v>19</v>
      </c>
      <c r="E40" s="107">
        <v>200</v>
      </c>
      <c r="F40" s="101"/>
      <c r="G40" s="157"/>
      <c r="H40" s="20"/>
      <c r="I40" s="172"/>
      <c r="J40" s="195" t="str">
        <f t="shared" si="0"/>
        <v>-</v>
      </c>
      <c r="K40" s="196" t="str">
        <f t="shared" si="0"/>
        <v>-</v>
      </c>
      <c r="L40" s="101"/>
      <c r="M40" s="117"/>
      <c r="N40" s="77">
        <f t="shared" si="2"/>
        <v>-1</v>
      </c>
      <c r="O40" s="88">
        <f t="shared" si="2"/>
        <v>-1</v>
      </c>
      <c r="P40" s="101">
        <v>1</v>
      </c>
      <c r="Q40" s="117">
        <v>200</v>
      </c>
      <c r="R40" s="186"/>
    </row>
    <row r="41" spans="1:18" ht="16.5" hidden="1" customHeight="1">
      <c r="A41" s="274"/>
      <c r="B41" s="282"/>
      <c r="C41" s="274"/>
      <c r="D41" s="218" t="s">
        <v>38</v>
      </c>
      <c r="E41" s="107">
        <v>250</v>
      </c>
      <c r="F41" s="101"/>
      <c r="G41" s="157"/>
      <c r="H41" s="20"/>
      <c r="I41" s="172"/>
      <c r="J41" s="195" t="str">
        <f t="shared" si="0"/>
        <v>-</v>
      </c>
      <c r="K41" s="196" t="str">
        <f t="shared" si="0"/>
        <v>-</v>
      </c>
      <c r="L41" s="101"/>
      <c r="M41" s="117"/>
      <c r="N41" s="77" t="str">
        <f t="shared" si="2"/>
        <v>-</v>
      </c>
      <c r="O41" s="88" t="str">
        <f t="shared" si="2"/>
        <v>-</v>
      </c>
      <c r="P41" s="101">
        <v>0</v>
      </c>
      <c r="Q41" s="117">
        <v>0</v>
      </c>
      <c r="R41" s="186"/>
    </row>
    <row r="42" spans="1:18" ht="16.5" hidden="1" customHeight="1">
      <c r="A42" s="275"/>
      <c r="B42" s="283"/>
      <c r="C42" s="275"/>
      <c r="D42" s="216" t="s">
        <v>16</v>
      </c>
      <c r="E42" s="105">
        <v>0</v>
      </c>
      <c r="F42" s="99"/>
      <c r="G42" s="155"/>
      <c r="H42" s="170"/>
      <c r="I42" s="171"/>
      <c r="J42" s="209" t="str">
        <f t="shared" si="0"/>
        <v>-</v>
      </c>
      <c r="K42" s="210" t="str">
        <f t="shared" si="0"/>
        <v>-</v>
      </c>
      <c r="L42" s="99"/>
      <c r="M42" s="115"/>
      <c r="N42" s="78">
        <f t="shared" si="2"/>
        <v>-1</v>
      </c>
      <c r="O42" s="89">
        <f t="shared" si="2"/>
        <v>-1</v>
      </c>
      <c r="P42" s="99">
        <f>SUM(P37:P41)</f>
        <v>11</v>
      </c>
      <c r="Q42" s="115">
        <f>SUM(Q37:Q41)</f>
        <v>950</v>
      </c>
      <c r="R42" s="192"/>
    </row>
    <row r="43" spans="1:18">
      <c r="A43" s="264" t="s">
        <v>47</v>
      </c>
      <c r="B43" s="265"/>
      <c r="C43" s="265"/>
      <c r="D43" s="265"/>
      <c r="E43" s="266"/>
      <c r="F43" s="97">
        <f>F42+F36</f>
        <v>0</v>
      </c>
      <c r="G43" s="158">
        <f>G42+G36</f>
        <v>0</v>
      </c>
      <c r="H43" s="173">
        <f>H42+H36</f>
        <v>16</v>
      </c>
      <c r="I43" s="174">
        <f>I42+I36</f>
        <v>15840</v>
      </c>
      <c r="J43" s="207">
        <f t="shared" si="0"/>
        <v>3</v>
      </c>
      <c r="K43" s="208">
        <f t="shared" si="0"/>
        <v>2.2999999999999998</v>
      </c>
      <c r="L43" s="97">
        <f>L42+L36</f>
        <v>4</v>
      </c>
      <c r="M43" s="118">
        <f>M42+M36</f>
        <v>4800</v>
      </c>
      <c r="N43" s="121">
        <f t="shared" si="2"/>
        <v>-0.23809523809523814</v>
      </c>
      <c r="O43" s="125">
        <f t="shared" si="2"/>
        <v>3.1921824104234497E-2</v>
      </c>
      <c r="P43" s="97">
        <f>P42+P36</f>
        <v>21</v>
      </c>
      <c r="Q43" s="118">
        <f>Q42+Q36</f>
        <v>15350</v>
      </c>
      <c r="R43" s="186"/>
    </row>
    <row r="44" spans="1:18" ht="16.5" hidden="1" customHeight="1">
      <c r="A44" s="267" t="s">
        <v>48</v>
      </c>
      <c r="B44" s="258" t="s">
        <v>11</v>
      </c>
      <c r="C44" s="261" t="s">
        <v>12</v>
      </c>
      <c r="D44" s="213" t="s">
        <v>13</v>
      </c>
      <c r="E44" s="68">
        <v>275</v>
      </c>
      <c r="F44" s="13">
        <v>0</v>
      </c>
      <c r="G44" s="14">
        <f>F44*E44</f>
        <v>0</v>
      </c>
      <c r="H44" s="15">
        <f>F44</f>
        <v>0</v>
      </c>
      <c r="I44" s="16">
        <f>H44*E44</f>
        <v>0</v>
      </c>
      <c r="J44" s="205" t="str">
        <f t="shared" si="0"/>
        <v>-</v>
      </c>
      <c r="K44" s="206" t="str">
        <f t="shared" si="0"/>
        <v>-</v>
      </c>
      <c r="L44" s="84"/>
      <c r="M44" s="81"/>
      <c r="N44" s="19">
        <f t="shared" si="2"/>
        <v>-1</v>
      </c>
      <c r="O44" s="87">
        <f t="shared" si="2"/>
        <v>-1</v>
      </c>
      <c r="P44" s="84">
        <v>3</v>
      </c>
      <c r="Q44" s="81">
        <v>650</v>
      </c>
      <c r="R44" s="187"/>
    </row>
    <row r="45" spans="1:18" ht="16.5" hidden="1" customHeight="1">
      <c r="A45" s="268"/>
      <c r="B45" s="259"/>
      <c r="C45" s="262"/>
      <c r="D45" s="214" t="s">
        <v>15</v>
      </c>
      <c r="E45" s="69">
        <v>180</v>
      </c>
      <c r="F45" s="12"/>
      <c r="G45" s="150"/>
      <c r="H45" s="10">
        <v>0</v>
      </c>
      <c r="I45" s="11">
        <f>H45*E45</f>
        <v>0</v>
      </c>
      <c r="J45" s="195" t="str">
        <f t="shared" si="0"/>
        <v>-</v>
      </c>
      <c r="K45" s="196" t="str">
        <f t="shared" si="0"/>
        <v>-</v>
      </c>
      <c r="L45" s="85"/>
      <c r="M45" s="82"/>
      <c r="N45" s="77" t="str">
        <f t="shared" si="2"/>
        <v>-</v>
      </c>
      <c r="O45" s="88" t="str">
        <f t="shared" si="2"/>
        <v>-</v>
      </c>
      <c r="P45" s="85">
        <v>0</v>
      </c>
      <c r="Q45" s="82">
        <v>0</v>
      </c>
      <c r="R45" s="187"/>
    </row>
    <row r="46" spans="1:18" ht="16.5" hidden="1" customHeight="1">
      <c r="A46" s="268"/>
      <c r="B46" s="259"/>
      <c r="C46" s="262"/>
      <c r="D46" s="214" t="s">
        <v>37</v>
      </c>
      <c r="E46" s="69">
        <v>420</v>
      </c>
      <c r="F46" s="12">
        <v>0</v>
      </c>
      <c r="G46" s="150">
        <f>F46*E46</f>
        <v>0</v>
      </c>
      <c r="H46" s="10">
        <v>0</v>
      </c>
      <c r="I46" s="11">
        <f>H46*E46</f>
        <v>0</v>
      </c>
      <c r="J46" s="195" t="str">
        <f t="shared" si="0"/>
        <v>-</v>
      </c>
      <c r="K46" s="196" t="str">
        <f t="shared" si="0"/>
        <v>-</v>
      </c>
      <c r="L46" s="85"/>
      <c r="M46" s="82"/>
      <c r="N46" s="77" t="str">
        <f t="shared" si="2"/>
        <v>-</v>
      </c>
      <c r="O46" s="88" t="str">
        <f t="shared" si="2"/>
        <v>-</v>
      </c>
      <c r="P46" s="85">
        <v>0</v>
      </c>
      <c r="Q46" s="82">
        <v>0</v>
      </c>
      <c r="R46" s="186"/>
    </row>
    <row r="47" spans="1:18" ht="16.5" hidden="1" customHeight="1">
      <c r="A47" s="268"/>
      <c r="B47" s="259"/>
      <c r="C47" s="263"/>
      <c r="D47" s="250" t="s">
        <v>16</v>
      </c>
      <c r="E47" s="251"/>
      <c r="F47" s="65">
        <f>SUM(F44:F46)</f>
        <v>0</v>
      </c>
      <c r="G47" s="151">
        <f>SUM(G44:G46)</f>
        <v>0</v>
      </c>
      <c r="H47" s="164">
        <f>SUM(H44:H46)</f>
        <v>0</v>
      </c>
      <c r="I47" s="165">
        <f>SUM(I44:I46)</f>
        <v>0</v>
      </c>
      <c r="J47" s="209" t="str">
        <f t="shared" si="0"/>
        <v>-</v>
      </c>
      <c r="K47" s="210" t="str">
        <f t="shared" si="0"/>
        <v>-</v>
      </c>
      <c r="L47" s="65">
        <f>SUM(L44:L46)</f>
        <v>0</v>
      </c>
      <c r="M47" s="74">
        <f>SUM(M44:M46)</f>
        <v>0</v>
      </c>
      <c r="N47" s="78">
        <f t="shared" si="2"/>
        <v>-1</v>
      </c>
      <c r="O47" s="89">
        <f t="shared" si="2"/>
        <v>-1</v>
      </c>
      <c r="P47" s="65">
        <f>SUM(P44:P46)</f>
        <v>3</v>
      </c>
      <c r="Q47" s="74">
        <f>SUM(Q44:Q46)</f>
        <v>650</v>
      </c>
      <c r="R47" s="186"/>
    </row>
    <row r="48" spans="1:18" ht="16.5" hidden="1" customHeight="1">
      <c r="A48" s="268"/>
      <c r="B48" s="259"/>
      <c r="C48" s="261" t="s">
        <v>17</v>
      </c>
      <c r="D48" s="215" t="s">
        <v>18</v>
      </c>
      <c r="E48" s="70">
        <v>550</v>
      </c>
      <c r="F48" s="5"/>
      <c r="G48" s="6">
        <f>F48*E48</f>
        <v>0</v>
      </c>
      <c r="H48" s="7"/>
      <c r="I48" s="8">
        <f>H48*E48</f>
        <v>0</v>
      </c>
      <c r="J48" s="197" t="str">
        <f t="shared" si="0"/>
        <v>-</v>
      </c>
      <c r="K48" s="198" t="str">
        <f t="shared" si="0"/>
        <v>-</v>
      </c>
      <c r="L48" s="86"/>
      <c r="M48" s="83"/>
      <c r="N48" s="9">
        <f t="shared" si="2"/>
        <v>-1</v>
      </c>
      <c r="O48" s="90">
        <f t="shared" si="2"/>
        <v>-1</v>
      </c>
      <c r="P48" s="86">
        <v>1</v>
      </c>
      <c r="Q48" s="83">
        <v>720</v>
      </c>
      <c r="R48" s="186"/>
    </row>
    <row r="49" spans="1:18" ht="16.5" hidden="1" customHeight="1">
      <c r="A49" s="268"/>
      <c r="B49" s="259"/>
      <c r="C49" s="262"/>
      <c r="D49" s="214" t="s">
        <v>19</v>
      </c>
      <c r="E49" s="69">
        <v>675</v>
      </c>
      <c r="F49" s="12"/>
      <c r="G49" s="150"/>
      <c r="H49" s="10">
        <v>0</v>
      </c>
      <c r="I49" s="11">
        <f>H49*E49</f>
        <v>0</v>
      </c>
      <c r="J49" s="195" t="str">
        <f t="shared" si="0"/>
        <v>-</v>
      </c>
      <c r="K49" s="196" t="str">
        <f t="shared" si="0"/>
        <v>-</v>
      </c>
      <c r="L49" s="85"/>
      <c r="M49" s="82"/>
      <c r="N49" s="77">
        <f t="shared" si="2"/>
        <v>-1</v>
      </c>
      <c r="O49" s="88">
        <f t="shared" si="2"/>
        <v>-1</v>
      </c>
      <c r="P49" s="85">
        <v>1</v>
      </c>
      <c r="Q49" s="82">
        <v>880</v>
      </c>
      <c r="R49" s="186"/>
    </row>
    <row r="50" spans="1:18" ht="16.5" hidden="1" customHeight="1">
      <c r="A50" s="268"/>
      <c r="B50" s="259"/>
      <c r="C50" s="262"/>
      <c r="D50" s="214" t="s">
        <v>38</v>
      </c>
      <c r="E50" s="69">
        <v>810</v>
      </c>
      <c r="F50" s="12">
        <v>0</v>
      </c>
      <c r="G50" s="150">
        <f>F50*E50</f>
        <v>0</v>
      </c>
      <c r="H50" s="10">
        <v>0</v>
      </c>
      <c r="I50" s="11">
        <f>H50*E50</f>
        <v>0</v>
      </c>
      <c r="J50" s="195" t="str">
        <f t="shared" si="0"/>
        <v>-</v>
      </c>
      <c r="K50" s="196" t="str">
        <f t="shared" si="0"/>
        <v>-</v>
      </c>
      <c r="L50" s="85"/>
      <c r="M50" s="82"/>
      <c r="N50" s="77" t="str">
        <f t="shared" si="2"/>
        <v>-</v>
      </c>
      <c r="O50" s="88" t="str">
        <f t="shared" si="2"/>
        <v>-</v>
      </c>
      <c r="P50" s="85">
        <v>0</v>
      </c>
      <c r="Q50" s="82">
        <v>0</v>
      </c>
      <c r="R50" s="186"/>
    </row>
    <row r="51" spans="1:18" ht="16.5" hidden="1" customHeight="1">
      <c r="A51" s="268"/>
      <c r="B51" s="259"/>
      <c r="C51" s="263"/>
      <c r="D51" s="250" t="s">
        <v>16</v>
      </c>
      <c r="E51" s="251"/>
      <c r="F51" s="65">
        <f>SUM(F48:F50)</f>
        <v>0</v>
      </c>
      <c r="G51" s="151">
        <f>SUM(G48:G50)</f>
        <v>0</v>
      </c>
      <c r="H51" s="164">
        <f>SUM(H48:H50)</f>
        <v>0</v>
      </c>
      <c r="I51" s="165">
        <f>SUM(I48:I50)</f>
        <v>0</v>
      </c>
      <c r="J51" s="209" t="str">
        <f t="shared" si="0"/>
        <v>-</v>
      </c>
      <c r="K51" s="210" t="str">
        <f t="shared" si="0"/>
        <v>-</v>
      </c>
      <c r="L51" s="65">
        <f>SUM(L48:L50)</f>
        <v>0</v>
      </c>
      <c r="M51" s="74">
        <f>SUM(M48:M50)</f>
        <v>0</v>
      </c>
      <c r="N51" s="78">
        <f t="shared" si="2"/>
        <v>-1</v>
      </c>
      <c r="O51" s="89">
        <f t="shared" si="2"/>
        <v>-1</v>
      </c>
      <c r="P51" s="65">
        <f>SUM(P48:P50)</f>
        <v>2</v>
      </c>
      <c r="Q51" s="74">
        <f>SUM(Q48:Q50)</f>
        <v>1600</v>
      </c>
      <c r="R51" s="186"/>
    </row>
    <row r="52" spans="1:18" ht="16.5" hidden="1" customHeight="1">
      <c r="A52" s="268"/>
      <c r="B52" s="260"/>
      <c r="C52" s="270" t="s">
        <v>20</v>
      </c>
      <c r="D52" s="271"/>
      <c r="E52" s="272"/>
      <c r="F52" s="102">
        <f>SUM(F47,F51)</f>
        <v>0</v>
      </c>
      <c r="G52" s="159">
        <f>SUM(G47,G51)</f>
        <v>0</v>
      </c>
      <c r="H52" s="175">
        <f>H51+H47</f>
        <v>0</v>
      </c>
      <c r="I52" s="176">
        <f>I51+I47</f>
        <v>0</v>
      </c>
      <c r="J52" s="211" t="str">
        <f t="shared" si="0"/>
        <v>-</v>
      </c>
      <c r="K52" s="212" t="str">
        <f t="shared" si="0"/>
        <v>-</v>
      </c>
      <c r="L52" s="102">
        <f>L51+L47</f>
        <v>0</v>
      </c>
      <c r="M52" s="119">
        <f>M51+M47</f>
        <v>0</v>
      </c>
      <c r="N52" s="122">
        <f t="shared" si="2"/>
        <v>-1</v>
      </c>
      <c r="O52" s="126">
        <f t="shared" si="2"/>
        <v>-1</v>
      </c>
      <c r="P52" s="102">
        <f>P51+P47</f>
        <v>5</v>
      </c>
      <c r="Q52" s="119">
        <f>Q51+Q47</f>
        <v>2250</v>
      </c>
      <c r="R52" s="186"/>
    </row>
    <row r="53" spans="1:18" ht="16.5" hidden="1" customHeight="1">
      <c r="A53" s="268"/>
      <c r="B53" s="258" t="s">
        <v>21</v>
      </c>
      <c r="C53" s="252" t="s">
        <v>12</v>
      </c>
      <c r="D53" s="215" t="s">
        <v>13</v>
      </c>
      <c r="E53" s="70">
        <v>190</v>
      </c>
      <c r="F53" s="5">
        <v>0</v>
      </c>
      <c r="G53" s="6">
        <f>F53*E53</f>
        <v>0</v>
      </c>
      <c r="H53" s="7">
        <v>0</v>
      </c>
      <c r="I53" s="8">
        <f>H53*E53</f>
        <v>0</v>
      </c>
      <c r="J53" s="197" t="str">
        <f t="shared" si="0"/>
        <v>-</v>
      </c>
      <c r="K53" s="198" t="str">
        <f t="shared" si="0"/>
        <v>-</v>
      </c>
      <c r="L53" s="86"/>
      <c r="M53" s="83"/>
      <c r="N53" s="9" t="str">
        <f t="shared" si="2"/>
        <v>-</v>
      </c>
      <c r="O53" s="90" t="str">
        <f t="shared" si="2"/>
        <v>-</v>
      </c>
      <c r="P53" s="86">
        <v>0</v>
      </c>
      <c r="Q53" s="83">
        <v>0</v>
      </c>
      <c r="R53" s="188"/>
    </row>
    <row r="54" spans="1:18" ht="16.5" hidden="1" customHeight="1">
      <c r="A54" s="268"/>
      <c r="B54" s="259"/>
      <c r="C54" s="253"/>
      <c r="D54" s="214" t="s">
        <v>15</v>
      </c>
      <c r="E54" s="69">
        <v>120</v>
      </c>
      <c r="F54" s="12"/>
      <c r="G54" s="150"/>
      <c r="H54" s="10">
        <v>0</v>
      </c>
      <c r="I54" s="11">
        <f>H54*E54</f>
        <v>0</v>
      </c>
      <c r="J54" s="195" t="str">
        <f t="shared" si="0"/>
        <v>-</v>
      </c>
      <c r="K54" s="196" t="str">
        <f t="shared" si="0"/>
        <v>-</v>
      </c>
      <c r="L54" s="85"/>
      <c r="M54" s="82"/>
      <c r="N54" s="77" t="str">
        <f t="shared" si="2"/>
        <v>-</v>
      </c>
      <c r="O54" s="88" t="str">
        <f t="shared" si="2"/>
        <v>-</v>
      </c>
      <c r="P54" s="85">
        <v>0</v>
      </c>
      <c r="Q54" s="82">
        <v>0</v>
      </c>
      <c r="R54" s="188"/>
    </row>
    <row r="55" spans="1:18" ht="16.5" hidden="1" customHeight="1">
      <c r="A55" s="268"/>
      <c r="B55" s="259"/>
      <c r="C55" s="253"/>
      <c r="D55" s="214" t="s">
        <v>37</v>
      </c>
      <c r="E55" s="69">
        <v>300</v>
      </c>
      <c r="F55" s="12">
        <v>0</v>
      </c>
      <c r="G55" s="150">
        <f>F55*E55</f>
        <v>0</v>
      </c>
      <c r="H55" s="10">
        <v>0</v>
      </c>
      <c r="I55" s="11">
        <f>H55*E55</f>
        <v>0</v>
      </c>
      <c r="J55" s="195" t="str">
        <f t="shared" si="0"/>
        <v>-</v>
      </c>
      <c r="K55" s="196" t="str">
        <f t="shared" si="0"/>
        <v>-</v>
      </c>
      <c r="L55" s="85"/>
      <c r="M55" s="82"/>
      <c r="N55" s="77" t="str">
        <f t="shared" si="2"/>
        <v>-</v>
      </c>
      <c r="O55" s="88" t="str">
        <f t="shared" si="2"/>
        <v>-</v>
      </c>
      <c r="P55" s="85">
        <v>0</v>
      </c>
      <c r="Q55" s="82">
        <v>0</v>
      </c>
      <c r="R55" s="188"/>
    </row>
    <row r="56" spans="1:18" ht="16.5" hidden="1" customHeight="1">
      <c r="A56" s="268"/>
      <c r="B56" s="259"/>
      <c r="C56" s="254"/>
      <c r="D56" s="250" t="s">
        <v>16</v>
      </c>
      <c r="E56" s="251"/>
      <c r="F56" s="65">
        <f>SUM(F53:F55)</f>
        <v>0</v>
      </c>
      <c r="G56" s="151">
        <f>SUM(G53:G55)</f>
        <v>0</v>
      </c>
      <c r="H56" s="164">
        <f>SUM(H53:H55)</f>
        <v>0</v>
      </c>
      <c r="I56" s="165">
        <f>SUM(I53:I55)</f>
        <v>0</v>
      </c>
      <c r="J56" s="209" t="str">
        <f t="shared" si="0"/>
        <v>-</v>
      </c>
      <c r="K56" s="210" t="str">
        <f t="shared" si="0"/>
        <v>-</v>
      </c>
      <c r="L56" s="65">
        <f>SUM(L53:L55)</f>
        <v>0</v>
      </c>
      <c r="M56" s="74">
        <f>SUM(M53:M55)</f>
        <v>0</v>
      </c>
      <c r="N56" s="78" t="str">
        <f t="shared" si="2"/>
        <v>-</v>
      </c>
      <c r="O56" s="89" t="str">
        <f t="shared" si="2"/>
        <v>-</v>
      </c>
      <c r="P56" s="65">
        <f>SUM(P53:P55)</f>
        <v>0</v>
      </c>
      <c r="Q56" s="74">
        <f>SUM(Q53:Q55)</f>
        <v>0</v>
      </c>
      <c r="R56" s="188"/>
    </row>
    <row r="57" spans="1:18" ht="16.5" hidden="1" customHeight="1">
      <c r="A57" s="268"/>
      <c r="B57" s="259"/>
      <c r="C57" s="252" t="s">
        <v>17</v>
      </c>
      <c r="D57" s="215" t="s">
        <v>18</v>
      </c>
      <c r="E57" s="70">
        <v>440</v>
      </c>
      <c r="F57" s="5">
        <v>0</v>
      </c>
      <c r="G57" s="6">
        <f>F57*E57</f>
        <v>0</v>
      </c>
      <c r="H57" s="7">
        <v>0</v>
      </c>
      <c r="I57" s="8">
        <f>H57*E57</f>
        <v>0</v>
      </c>
      <c r="J57" s="197" t="str">
        <f t="shared" si="0"/>
        <v>-</v>
      </c>
      <c r="K57" s="198" t="str">
        <f t="shared" si="0"/>
        <v>-</v>
      </c>
      <c r="L57" s="86"/>
      <c r="M57" s="83"/>
      <c r="N57" s="9" t="str">
        <f t="shared" si="2"/>
        <v>-</v>
      </c>
      <c r="O57" s="90" t="str">
        <f t="shared" si="2"/>
        <v>-</v>
      </c>
      <c r="P57" s="86">
        <v>0</v>
      </c>
      <c r="Q57" s="83">
        <v>0</v>
      </c>
      <c r="R57" s="188"/>
    </row>
    <row r="58" spans="1:18" ht="16.5" hidden="1" customHeight="1">
      <c r="A58" s="268"/>
      <c r="B58" s="259"/>
      <c r="C58" s="253"/>
      <c r="D58" s="214" t="s">
        <v>19</v>
      </c>
      <c r="E58" s="69">
        <v>520</v>
      </c>
      <c r="F58" s="12">
        <v>0</v>
      </c>
      <c r="G58" s="150">
        <v>0</v>
      </c>
      <c r="H58" s="10">
        <v>0</v>
      </c>
      <c r="I58" s="11">
        <f>H58*E58</f>
        <v>0</v>
      </c>
      <c r="J58" s="195" t="str">
        <f t="shared" si="0"/>
        <v>-</v>
      </c>
      <c r="K58" s="196" t="str">
        <f t="shared" si="0"/>
        <v>-</v>
      </c>
      <c r="L58" s="85"/>
      <c r="M58" s="82"/>
      <c r="N58" s="77" t="str">
        <f t="shared" si="2"/>
        <v>-</v>
      </c>
      <c r="O58" s="88" t="str">
        <f t="shared" si="2"/>
        <v>-</v>
      </c>
      <c r="P58" s="85">
        <v>0</v>
      </c>
      <c r="Q58" s="82">
        <v>0</v>
      </c>
      <c r="R58" s="188"/>
    </row>
    <row r="59" spans="1:18" ht="16.5" hidden="1" customHeight="1">
      <c r="A59" s="268"/>
      <c r="B59" s="259"/>
      <c r="C59" s="253"/>
      <c r="D59" s="214" t="s">
        <v>38</v>
      </c>
      <c r="E59" s="69">
        <v>600</v>
      </c>
      <c r="F59" s="12">
        <v>0</v>
      </c>
      <c r="G59" s="150">
        <f>F59*E59</f>
        <v>0</v>
      </c>
      <c r="H59" s="10">
        <v>0</v>
      </c>
      <c r="I59" s="11">
        <f>H59*E59</f>
        <v>0</v>
      </c>
      <c r="J59" s="195" t="str">
        <f t="shared" si="0"/>
        <v>-</v>
      </c>
      <c r="K59" s="196" t="str">
        <f t="shared" si="0"/>
        <v>-</v>
      </c>
      <c r="L59" s="85"/>
      <c r="M59" s="82"/>
      <c r="N59" s="77" t="str">
        <f t="shared" si="2"/>
        <v>-</v>
      </c>
      <c r="O59" s="88" t="str">
        <f t="shared" si="2"/>
        <v>-</v>
      </c>
      <c r="P59" s="85">
        <v>0</v>
      </c>
      <c r="Q59" s="82">
        <v>0</v>
      </c>
      <c r="R59" s="188"/>
    </row>
    <row r="60" spans="1:18" ht="16.5" hidden="1" customHeight="1">
      <c r="A60" s="268"/>
      <c r="B60" s="259"/>
      <c r="C60" s="254"/>
      <c r="D60" s="250" t="s">
        <v>16</v>
      </c>
      <c r="E60" s="251"/>
      <c r="F60" s="65">
        <f>SUM(F57:F59)</f>
        <v>0</v>
      </c>
      <c r="G60" s="151">
        <f>SUM(G57:G59)</f>
        <v>0</v>
      </c>
      <c r="H60" s="164">
        <f>SUM(H57:H59)</f>
        <v>0</v>
      </c>
      <c r="I60" s="165">
        <f>SUM(I57:I59)</f>
        <v>0</v>
      </c>
      <c r="J60" s="209" t="str">
        <f t="shared" si="0"/>
        <v>-</v>
      </c>
      <c r="K60" s="210" t="str">
        <f t="shared" si="0"/>
        <v>-</v>
      </c>
      <c r="L60" s="65">
        <f>SUM(L57:L59)</f>
        <v>0</v>
      </c>
      <c r="M60" s="74">
        <f>SUM(M57:M59)</f>
        <v>0</v>
      </c>
      <c r="N60" s="78" t="str">
        <f t="shared" si="2"/>
        <v>-</v>
      </c>
      <c r="O60" s="89" t="str">
        <f t="shared" si="2"/>
        <v>-</v>
      </c>
      <c r="P60" s="65">
        <f>SUM(P57:P59)</f>
        <v>0</v>
      </c>
      <c r="Q60" s="74">
        <f>SUM(Q57:Q59)</f>
        <v>0</v>
      </c>
      <c r="R60" s="188"/>
    </row>
    <row r="61" spans="1:18" ht="16.5" hidden="1" customHeight="1">
      <c r="A61" s="268"/>
      <c r="B61" s="260"/>
      <c r="C61" s="255" t="s">
        <v>20</v>
      </c>
      <c r="D61" s="256"/>
      <c r="E61" s="257"/>
      <c r="F61" s="102">
        <f>SUM(F56,F60)</f>
        <v>0</v>
      </c>
      <c r="G61" s="159">
        <f>SUM(G56,G60)</f>
        <v>0</v>
      </c>
      <c r="H61" s="175">
        <f>H60+H56</f>
        <v>0</v>
      </c>
      <c r="I61" s="176">
        <f>I60+I56</f>
        <v>0</v>
      </c>
      <c r="J61" s="211" t="str">
        <f t="shared" si="0"/>
        <v>-</v>
      </c>
      <c r="K61" s="212" t="str">
        <f t="shared" si="0"/>
        <v>-</v>
      </c>
      <c r="L61" s="102">
        <f>L60+L56</f>
        <v>0</v>
      </c>
      <c r="M61" s="119">
        <f>M60+M56</f>
        <v>0</v>
      </c>
      <c r="N61" s="122" t="str">
        <f t="shared" si="2"/>
        <v>-</v>
      </c>
      <c r="O61" s="126" t="str">
        <f t="shared" si="2"/>
        <v>-</v>
      </c>
      <c r="P61" s="102">
        <f>SUM(P56,P60)</f>
        <v>0</v>
      </c>
      <c r="Q61" s="119">
        <f>SUM(Q56,Q60)</f>
        <v>0</v>
      </c>
      <c r="R61" s="188"/>
    </row>
    <row r="62" spans="1:18" ht="16.5" hidden="1" customHeight="1">
      <c r="A62" s="268"/>
      <c r="B62" s="258" t="s">
        <v>26</v>
      </c>
      <c r="C62" s="261" t="s">
        <v>12</v>
      </c>
      <c r="D62" s="215" t="s">
        <v>13</v>
      </c>
      <c r="E62" s="70">
        <v>190</v>
      </c>
      <c r="F62" s="5">
        <v>0</v>
      </c>
      <c r="G62" s="6">
        <f>F62*E62</f>
        <v>0</v>
      </c>
      <c r="H62" s="7">
        <v>0</v>
      </c>
      <c r="I62" s="8">
        <f>H62*E62</f>
        <v>0</v>
      </c>
      <c r="J62" s="197" t="str">
        <f t="shared" si="0"/>
        <v>-</v>
      </c>
      <c r="K62" s="198" t="str">
        <f t="shared" si="0"/>
        <v>-</v>
      </c>
      <c r="L62" s="86"/>
      <c r="M62" s="83"/>
      <c r="N62" s="9">
        <f t="shared" si="2"/>
        <v>-1</v>
      </c>
      <c r="O62" s="90">
        <f t="shared" si="2"/>
        <v>-1</v>
      </c>
      <c r="P62" s="86">
        <v>5</v>
      </c>
      <c r="Q62" s="83">
        <v>1020</v>
      </c>
      <c r="R62" s="188"/>
    </row>
    <row r="63" spans="1:18" ht="16.5" hidden="1" customHeight="1">
      <c r="A63" s="268"/>
      <c r="B63" s="259"/>
      <c r="C63" s="262"/>
      <c r="D63" s="214" t="s">
        <v>15</v>
      </c>
      <c r="E63" s="69">
        <v>120</v>
      </c>
      <c r="F63" s="12">
        <v>0</v>
      </c>
      <c r="G63" s="150">
        <v>0</v>
      </c>
      <c r="H63" s="10">
        <v>0</v>
      </c>
      <c r="I63" s="11">
        <f>H63*E63</f>
        <v>0</v>
      </c>
      <c r="J63" s="195" t="str">
        <f t="shared" si="0"/>
        <v>-</v>
      </c>
      <c r="K63" s="196" t="str">
        <f t="shared" si="0"/>
        <v>-</v>
      </c>
      <c r="L63" s="85"/>
      <c r="M63" s="82"/>
      <c r="N63" s="77" t="str">
        <f t="shared" si="2"/>
        <v>-</v>
      </c>
      <c r="O63" s="88" t="str">
        <f t="shared" si="2"/>
        <v>-</v>
      </c>
      <c r="P63" s="85">
        <v>0</v>
      </c>
      <c r="Q63" s="82">
        <v>0</v>
      </c>
      <c r="R63" s="188"/>
    </row>
    <row r="64" spans="1:18" ht="16.5" hidden="1" customHeight="1">
      <c r="A64" s="268"/>
      <c r="B64" s="259"/>
      <c r="C64" s="262"/>
      <c r="D64" s="214" t="s">
        <v>37</v>
      </c>
      <c r="E64" s="69">
        <v>300</v>
      </c>
      <c r="F64" s="12">
        <v>0</v>
      </c>
      <c r="G64" s="150">
        <f>F64*E64</f>
        <v>0</v>
      </c>
      <c r="H64" s="10">
        <v>0</v>
      </c>
      <c r="I64" s="11">
        <f>H64*E64</f>
        <v>0</v>
      </c>
      <c r="J64" s="195" t="str">
        <f t="shared" si="0"/>
        <v>-</v>
      </c>
      <c r="K64" s="196" t="str">
        <f t="shared" si="0"/>
        <v>-</v>
      </c>
      <c r="L64" s="85"/>
      <c r="M64" s="82"/>
      <c r="N64" s="77">
        <f t="shared" si="2"/>
        <v>-1</v>
      </c>
      <c r="O64" s="88">
        <f t="shared" si="2"/>
        <v>-1</v>
      </c>
      <c r="P64" s="85">
        <v>5</v>
      </c>
      <c r="Q64" s="82">
        <v>1800</v>
      </c>
      <c r="R64" s="188"/>
    </row>
    <row r="65" spans="1:18" ht="16.5" hidden="1" customHeight="1">
      <c r="A65" s="268"/>
      <c r="B65" s="259"/>
      <c r="C65" s="263"/>
      <c r="D65" s="250" t="s">
        <v>16</v>
      </c>
      <c r="E65" s="251"/>
      <c r="F65" s="65">
        <f>SUM(F62:F64)</f>
        <v>0</v>
      </c>
      <c r="G65" s="151">
        <f>SUM(G62:G64)</f>
        <v>0</v>
      </c>
      <c r="H65" s="164">
        <f>SUM(H62:H64)</f>
        <v>0</v>
      </c>
      <c r="I65" s="165">
        <f>SUM(I62:I64)</f>
        <v>0</v>
      </c>
      <c r="J65" s="209" t="str">
        <f t="shared" si="0"/>
        <v>-</v>
      </c>
      <c r="K65" s="210" t="str">
        <f t="shared" si="0"/>
        <v>-</v>
      </c>
      <c r="L65" s="65">
        <f>SUM(L62:L64)</f>
        <v>0</v>
      </c>
      <c r="M65" s="74">
        <f>SUM(M62:M64)</f>
        <v>0</v>
      </c>
      <c r="N65" s="78">
        <f t="shared" si="2"/>
        <v>-1</v>
      </c>
      <c r="O65" s="89">
        <f t="shared" si="2"/>
        <v>-1</v>
      </c>
      <c r="P65" s="65">
        <f>SUM(P62:P64)</f>
        <v>10</v>
      </c>
      <c r="Q65" s="74">
        <f>SUM(Q62:Q64)</f>
        <v>2820</v>
      </c>
      <c r="R65" s="188"/>
    </row>
    <row r="66" spans="1:18" ht="16.5" hidden="1" customHeight="1">
      <c r="A66" s="268"/>
      <c r="B66" s="259"/>
      <c r="C66" s="261" t="s">
        <v>17</v>
      </c>
      <c r="D66" s="215" t="s">
        <v>18</v>
      </c>
      <c r="E66" s="70">
        <v>440</v>
      </c>
      <c r="F66" s="5">
        <v>0</v>
      </c>
      <c r="G66" s="6">
        <f>F66*E66</f>
        <v>0</v>
      </c>
      <c r="H66" s="7">
        <v>0</v>
      </c>
      <c r="I66" s="8">
        <f>H66*E66</f>
        <v>0</v>
      </c>
      <c r="J66" s="197" t="str">
        <f t="shared" si="0"/>
        <v>-</v>
      </c>
      <c r="K66" s="198" t="str">
        <f t="shared" si="0"/>
        <v>-</v>
      </c>
      <c r="L66" s="86"/>
      <c r="M66" s="83"/>
      <c r="N66" s="9">
        <f t="shared" si="2"/>
        <v>-1</v>
      </c>
      <c r="O66" s="90">
        <f t="shared" si="2"/>
        <v>-1</v>
      </c>
      <c r="P66" s="86">
        <v>3</v>
      </c>
      <c r="Q66" s="83">
        <v>1770</v>
      </c>
      <c r="R66" s="188"/>
    </row>
    <row r="67" spans="1:18" ht="16.5" hidden="1" customHeight="1">
      <c r="A67" s="268"/>
      <c r="B67" s="259"/>
      <c r="C67" s="262"/>
      <c r="D67" s="214" t="s">
        <v>19</v>
      </c>
      <c r="E67" s="69">
        <v>520</v>
      </c>
      <c r="F67" s="12">
        <v>0</v>
      </c>
      <c r="G67" s="150">
        <v>0</v>
      </c>
      <c r="H67" s="10">
        <v>0</v>
      </c>
      <c r="I67" s="11">
        <f>H67*E67</f>
        <v>0</v>
      </c>
      <c r="J67" s="195" t="str">
        <f t="shared" si="0"/>
        <v>-</v>
      </c>
      <c r="K67" s="196" t="str">
        <f t="shared" si="0"/>
        <v>-</v>
      </c>
      <c r="L67" s="85"/>
      <c r="M67" s="82"/>
      <c r="N67" s="77">
        <f t="shared" si="2"/>
        <v>-1</v>
      </c>
      <c r="O67" s="88">
        <f t="shared" si="2"/>
        <v>-1</v>
      </c>
      <c r="P67" s="85">
        <v>3</v>
      </c>
      <c r="Q67" s="82">
        <v>2160</v>
      </c>
      <c r="R67" s="188"/>
    </row>
    <row r="68" spans="1:18" ht="16.5" hidden="1" customHeight="1">
      <c r="A68" s="268"/>
      <c r="B68" s="259"/>
      <c r="C68" s="262"/>
      <c r="D68" s="214" t="s">
        <v>38</v>
      </c>
      <c r="E68" s="69">
        <v>600</v>
      </c>
      <c r="F68" s="12">
        <v>0</v>
      </c>
      <c r="G68" s="150">
        <f>F68*E68</f>
        <v>0</v>
      </c>
      <c r="H68" s="10">
        <v>0</v>
      </c>
      <c r="I68" s="11">
        <f>H68*E68</f>
        <v>0</v>
      </c>
      <c r="J68" s="195" t="str">
        <f t="shared" si="0"/>
        <v>-</v>
      </c>
      <c r="K68" s="196" t="str">
        <f t="shared" si="0"/>
        <v>-</v>
      </c>
      <c r="L68" s="85"/>
      <c r="M68" s="82"/>
      <c r="N68" s="77" t="str">
        <f t="shared" si="2"/>
        <v>-</v>
      </c>
      <c r="O68" s="88" t="str">
        <f t="shared" si="2"/>
        <v>-</v>
      </c>
      <c r="P68" s="85">
        <v>0</v>
      </c>
      <c r="Q68" s="82">
        <v>0</v>
      </c>
      <c r="R68" s="188"/>
    </row>
    <row r="69" spans="1:18" ht="16.5" hidden="1" customHeight="1">
      <c r="A69" s="268"/>
      <c r="B69" s="259"/>
      <c r="C69" s="263"/>
      <c r="D69" s="250" t="s">
        <v>16</v>
      </c>
      <c r="E69" s="251"/>
      <c r="F69" s="65">
        <f>SUM(F66:F68)</f>
        <v>0</v>
      </c>
      <c r="G69" s="151">
        <f>SUM(G66:G68)</f>
        <v>0</v>
      </c>
      <c r="H69" s="164">
        <f>SUM(H66:H68)</f>
        <v>0</v>
      </c>
      <c r="I69" s="165">
        <f>SUM(I66:I68)</f>
        <v>0</v>
      </c>
      <c r="J69" s="209" t="str">
        <f t="shared" si="0"/>
        <v>-</v>
      </c>
      <c r="K69" s="210" t="str">
        <f t="shared" si="0"/>
        <v>-</v>
      </c>
      <c r="L69" s="65">
        <f>SUM(L66:L68)</f>
        <v>0</v>
      </c>
      <c r="M69" s="74">
        <f>SUM(M66:M68)</f>
        <v>0</v>
      </c>
      <c r="N69" s="78">
        <f t="shared" si="2"/>
        <v>-1</v>
      </c>
      <c r="O69" s="89">
        <f t="shared" si="2"/>
        <v>-1</v>
      </c>
      <c r="P69" s="65">
        <f>SUM(P66:P68)</f>
        <v>6</v>
      </c>
      <c r="Q69" s="74">
        <f>SUM(Q66:Q68)</f>
        <v>3930</v>
      </c>
      <c r="R69" s="188"/>
    </row>
    <row r="70" spans="1:18" ht="16.5" hidden="1" customHeight="1">
      <c r="A70" s="269"/>
      <c r="B70" s="260"/>
      <c r="C70" s="255" t="s">
        <v>20</v>
      </c>
      <c r="D70" s="256"/>
      <c r="E70" s="257"/>
      <c r="F70" s="102">
        <f>SUM(F65,F69)</f>
        <v>0</v>
      </c>
      <c r="G70" s="159">
        <f>SUM(G65,G69)</f>
        <v>0</v>
      </c>
      <c r="H70" s="175">
        <f>H69+H65</f>
        <v>0</v>
      </c>
      <c r="I70" s="176">
        <f>I69+I65</f>
        <v>0</v>
      </c>
      <c r="J70" s="211" t="str">
        <f t="shared" si="0"/>
        <v>-</v>
      </c>
      <c r="K70" s="212" t="str">
        <f t="shared" si="0"/>
        <v>-</v>
      </c>
      <c r="L70" s="102">
        <f>L69+L65</f>
        <v>0</v>
      </c>
      <c r="M70" s="119">
        <f>M69+M65</f>
        <v>0</v>
      </c>
      <c r="N70" s="122">
        <f t="shared" si="2"/>
        <v>-1</v>
      </c>
      <c r="O70" s="126">
        <f t="shared" si="2"/>
        <v>-1</v>
      </c>
      <c r="P70" s="102">
        <f>P69+P65</f>
        <v>16</v>
      </c>
      <c r="Q70" s="119">
        <f>Q69+Q65</f>
        <v>6750</v>
      </c>
      <c r="R70" s="188"/>
    </row>
    <row r="71" spans="1:18" ht="16.5" hidden="1" customHeight="1">
      <c r="A71" s="239" t="s">
        <v>49</v>
      </c>
      <c r="B71" s="240"/>
      <c r="C71" s="240"/>
      <c r="D71" s="240"/>
      <c r="E71" s="241"/>
      <c r="F71" s="97">
        <f>F70+F61+F52</f>
        <v>0</v>
      </c>
      <c r="G71" s="158">
        <f>G70+G61+G52</f>
        <v>0</v>
      </c>
      <c r="H71" s="173">
        <f>H70+H61+H52</f>
        <v>0</v>
      </c>
      <c r="I71" s="174">
        <f>I70+I61+I52</f>
        <v>0</v>
      </c>
      <c r="J71" s="207" t="str">
        <f t="shared" ref="J71:K83" si="3">IFERROR(H71/L71-1,"-")</f>
        <v>-</v>
      </c>
      <c r="K71" s="208" t="str">
        <f t="shared" si="3"/>
        <v>-</v>
      </c>
      <c r="L71" s="97">
        <f>L70+L61+L52</f>
        <v>0</v>
      </c>
      <c r="M71" s="118">
        <f>M70+M61+M52</f>
        <v>0</v>
      </c>
      <c r="N71" s="121">
        <f t="shared" ref="N71:O83" si="4">IFERROR(H71/P71-1,"-")</f>
        <v>-1</v>
      </c>
      <c r="O71" s="125">
        <f t="shared" si="4"/>
        <v>-1</v>
      </c>
      <c r="P71" s="97">
        <f>P70+P61+P52</f>
        <v>21</v>
      </c>
      <c r="Q71" s="118">
        <f>Q70+Q61+Q52</f>
        <v>9000</v>
      </c>
      <c r="R71" s="188"/>
    </row>
    <row r="72" spans="1:18" ht="16.5" customHeight="1">
      <c r="A72" s="242" t="s">
        <v>51</v>
      </c>
      <c r="B72" s="242" t="s">
        <v>50</v>
      </c>
      <c r="C72" s="245" t="s">
        <v>12</v>
      </c>
      <c r="D72" s="219" t="s">
        <v>52</v>
      </c>
      <c r="E72" s="109">
        <v>190</v>
      </c>
      <c r="F72" s="98">
        <v>0</v>
      </c>
      <c r="G72" s="154">
        <f>F72*E72</f>
        <v>0</v>
      </c>
      <c r="H72" s="17">
        <v>1</v>
      </c>
      <c r="I72" s="18">
        <f>H72*E72</f>
        <v>190</v>
      </c>
      <c r="J72" s="197" t="str">
        <f t="shared" si="3"/>
        <v>-</v>
      </c>
      <c r="K72" s="198" t="str">
        <f t="shared" si="3"/>
        <v>-</v>
      </c>
      <c r="L72" s="98"/>
      <c r="M72" s="114"/>
      <c r="N72" s="19">
        <f t="shared" si="4"/>
        <v>-0.93333333333333335</v>
      </c>
      <c r="O72" s="87">
        <f t="shared" si="4"/>
        <v>-0.92692307692307696</v>
      </c>
      <c r="P72" s="98">
        <v>15</v>
      </c>
      <c r="Q72" s="114">
        <f>1690+910</f>
        <v>2600</v>
      </c>
      <c r="R72" s="231"/>
    </row>
    <row r="73" spans="1:18" ht="16.5" customHeight="1">
      <c r="A73" s="243"/>
      <c r="B73" s="243"/>
      <c r="C73" s="246"/>
      <c r="D73" s="220" t="s">
        <v>53</v>
      </c>
      <c r="E73" s="110">
        <v>120</v>
      </c>
      <c r="F73" s="101">
        <v>0</v>
      </c>
      <c r="G73" s="157">
        <f>F73*E73</f>
        <v>0</v>
      </c>
      <c r="H73" s="20">
        <v>0</v>
      </c>
      <c r="I73" s="172">
        <f>H73*E73</f>
        <v>0</v>
      </c>
      <c r="J73" s="195" t="str">
        <f t="shared" si="3"/>
        <v>-</v>
      </c>
      <c r="K73" s="196" t="str">
        <f t="shared" si="3"/>
        <v>-</v>
      </c>
      <c r="L73" s="101"/>
      <c r="M73" s="117"/>
      <c r="N73" s="77" t="str">
        <f t="shared" si="4"/>
        <v>-</v>
      </c>
      <c r="O73" s="88" t="str">
        <f t="shared" si="4"/>
        <v>-</v>
      </c>
      <c r="P73" s="101">
        <v>0</v>
      </c>
      <c r="Q73" s="117">
        <v>0</v>
      </c>
      <c r="R73" s="189"/>
    </row>
    <row r="74" spans="1:18" ht="16.5" customHeight="1">
      <c r="A74" s="243"/>
      <c r="B74" s="243"/>
      <c r="C74" s="246"/>
      <c r="D74" s="220" t="s">
        <v>37</v>
      </c>
      <c r="E74" s="110">
        <v>300</v>
      </c>
      <c r="F74" s="101">
        <v>2</v>
      </c>
      <c r="G74" s="157">
        <f>F74*E74</f>
        <v>600</v>
      </c>
      <c r="H74" s="20">
        <v>3</v>
      </c>
      <c r="I74" s="172">
        <f>H74*E74</f>
        <v>900</v>
      </c>
      <c r="J74" s="195" t="str">
        <f t="shared" si="3"/>
        <v>-</v>
      </c>
      <c r="K74" s="196" t="str">
        <f t="shared" si="3"/>
        <v>-</v>
      </c>
      <c r="L74" s="101"/>
      <c r="M74" s="117"/>
      <c r="N74" s="77">
        <f t="shared" si="4"/>
        <v>2</v>
      </c>
      <c r="O74" s="88">
        <f t="shared" si="4"/>
        <v>1.903225806451613</v>
      </c>
      <c r="P74" s="101">
        <v>1</v>
      </c>
      <c r="Q74" s="117">
        <v>310</v>
      </c>
      <c r="R74" s="189"/>
    </row>
    <row r="75" spans="1:18" ht="16.5" customHeight="1">
      <c r="A75" s="243"/>
      <c r="B75" s="243"/>
      <c r="C75" s="247"/>
      <c r="D75" s="248" t="s">
        <v>16</v>
      </c>
      <c r="E75" s="249"/>
      <c r="F75" s="99">
        <f>SUM(F72:F74)</f>
        <v>2</v>
      </c>
      <c r="G75" s="155">
        <f>SUM(G72:G74)</f>
        <v>600</v>
      </c>
      <c r="H75" s="170">
        <f>SUM(H72:H74)</f>
        <v>4</v>
      </c>
      <c r="I75" s="171">
        <f>SUM(I72:I74)</f>
        <v>1090</v>
      </c>
      <c r="J75" s="209" t="str">
        <f t="shared" si="3"/>
        <v>-</v>
      </c>
      <c r="K75" s="210" t="str">
        <f t="shared" si="3"/>
        <v>-</v>
      </c>
      <c r="L75" s="99">
        <f>SUM(L72:L74)</f>
        <v>0</v>
      </c>
      <c r="M75" s="115">
        <f>SUM(M72:M74)</f>
        <v>0</v>
      </c>
      <c r="N75" s="78">
        <f t="shared" si="4"/>
        <v>-0.75</v>
      </c>
      <c r="O75" s="89">
        <f t="shared" si="4"/>
        <v>-0.62542955326460481</v>
      </c>
      <c r="P75" s="99">
        <f>SUM(P72:P74)</f>
        <v>16</v>
      </c>
      <c r="Q75" s="115">
        <f>SUM(Q72:Q74)</f>
        <v>2910</v>
      </c>
      <c r="R75" s="189"/>
    </row>
    <row r="76" spans="1:18" ht="16.5" customHeight="1">
      <c r="A76" s="243"/>
      <c r="B76" s="243"/>
      <c r="C76" s="245" t="s">
        <v>17</v>
      </c>
      <c r="D76" s="221" t="s">
        <v>18</v>
      </c>
      <c r="E76" s="111">
        <v>440</v>
      </c>
      <c r="F76" s="98">
        <v>6</v>
      </c>
      <c r="G76" s="154">
        <f>F76*E76</f>
        <v>2640</v>
      </c>
      <c r="H76" s="17">
        <v>20</v>
      </c>
      <c r="I76" s="18">
        <f>H76*E76</f>
        <v>8800</v>
      </c>
      <c r="J76" s="197" t="str">
        <f t="shared" si="3"/>
        <v>-</v>
      </c>
      <c r="K76" s="198" t="str">
        <f t="shared" si="3"/>
        <v>-</v>
      </c>
      <c r="L76" s="100"/>
      <c r="M76" s="116"/>
      <c r="N76" s="9">
        <f t="shared" si="4"/>
        <v>-0.57446808510638303</v>
      </c>
      <c r="O76" s="90">
        <f t="shared" si="4"/>
        <v>-0.58451369216241744</v>
      </c>
      <c r="P76" s="100">
        <f>33+4+1+9</f>
        <v>47</v>
      </c>
      <c r="Q76" s="116">
        <f>14520+1760+490+4410</f>
        <v>21180</v>
      </c>
      <c r="R76" s="189"/>
    </row>
    <row r="77" spans="1:18" ht="16.5" customHeight="1">
      <c r="A77" s="243"/>
      <c r="B77" s="243"/>
      <c r="C77" s="246"/>
      <c r="D77" s="220" t="s">
        <v>19</v>
      </c>
      <c r="E77" s="110">
        <v>520</v>
      </c>
      <c r="F77" s="101">
        <v>15</v>
      </c>
      <c r="G77" s="157">
        <f>F77*E77</f>
        <v>7800</v>
      </c>
      <c r="H77" s="20">
        <v>30</v>
      </c>
      <c r="I77" s="172">
        <f>H77*E77</f>
        <v>15600</v>
      </c>
      <c r="J77" s="195" t="str">
        <f t="shared" si="3"/>
        <v>-</v>
      </c>
      <c r="K77" s="196" t="str">
        <f t="shared" si="3"/>
        <v>-</v>
      </c>
      <c r="L77" s="101"/>
      <c r="M77" s="117"/>
      <c r="N77" s="77">
        <f t="shared" si="4"/>
        <v>-0.25</v>
      </c>
      <c r="O77" s="88">
        <f t="shared" si="4"/>
        <v>-0.26066350710900477</v>
      </c>
      <c r="P77" s="101">
        <f>34+6</f>
        <v>40</v>
      </c>
      <c r="Q77" s="117">
        <f>17680+3420</f>
        <v>21100</v>
      </c>
      <c r="R77" s="189"/>
    </row>
    <row r="78" spans="1:18" ht="16.5" customHeight="1">
      <c r="A78" s="243"/>
      <c r="B78" s="243"/>
      <c r="C78" s="246"/>
      <c r="D78" s="220" t="s">
        <v>38</v>
      </c>
      <c r="E78" s="110">
        <v>600</v>
      </c>
      <c r="F78" s="101">
        <v>1</v>
      </c>
      <c r="G78" s="157">
        <f>F78*E78</f>
        <v>600</v>
      </c>
      <c r="H78" s="20">
        <v>4</v>
      </c>
      <c r="I78" s="172">
        <f>H78*E78</f>
        <v>2400</v>
      </c>
      <c r="J78" s="195" t="str">
        <f t="shared" si="3"/>
        <v>-</v>
      </c>
      <c r="K78" s="196" t="str">
        <f t="shared" si="3"/>
        <v>-</v>
      </c>
      <c r="L78" s="101"/>
      <c r="M78" s="117"/>
      <c r="N78" s="77" t="str">
        <f t="shared" si="4"/>
        <v>-</v>
      </c>
      <c r="O78" s="88" t="str">
        <f t="shared" si="4"/>
        <v>-</v>
      </c>
      <c r="P78" s="101">
        <v>0</v>
      </c>
      <c r="Q78" s="117">
        <v>0</v>
      </c>
      <c r="R78" s="189"/>
    </row>
    <row r="79" spans="1:18" ht="16.5" customHeight="1">
      <c r="A79" s="243"/>
      <c r="B79" s="243"/>
      <c r="C79" s="247"/>
      <c r="D79" s="248" t="s">
        <v>16</v>
      </c>
      <c r="E79" s="249"/>
      <c r="F79" s="99">
        <f>SUM(F76:F78)</f>
        <v>22</v>
      </c>
      <c r="G79" s="155">
        <f>SUM(G76:G78)</f>
        <v>11040</v>
      </c>
      <c r="H79" s="170">
        <f>SUM(H76:H78)</f>
        <v>54</v>
      </c>
      <c r="I79" s="171">
        <f>SUM(I76:I78)</f>
        <v>26800</v>
      </c>
      <c r="J79" s="209">
        <f t="shared" si="3"/>
        <v>0.19999999999999996</v>
      </c>
      <c r="K79" s="210">
        <f t="shared" si="3"/>
        <v>0.34403209628886655</v>
      </c>
      <c r="L79" s="99">
        <v>45</v>
      </c>
      <c r="M79" s="115">
        <v>19940</v>
      </c>
      <c r="N79" s="78">
        <f t="shared" si="4"/>
        <v>-0.37931034482758619</v>
      </c>
      <c r="O79" s="89">
        <f t="shared" si="4"/>
        <v>-0.36613055818353835</v>
      </c>
      <c r="P79" s="99">
        <f>SUM(P76:P78)</f>
        <v>87</v>
      </c>
      <c r="Q79" s="115">
        <f>SUM(Q76:Q78)</f>
        <v>42280</v>
      </c>
      <c r="R79" s="189"/>
    </row>
    <row r="80" spans="1:18" ht="16.5" hidden="1" customHeight="1">
      <c r="A80" s="243"/>
      <c r="B80" s="243"/>
      <c r="C80" s="245" t="s">
        <v>54</v>
      </c>
      <c r="D80" s="221" t="s">
        <v>19</v>
      </c>
      <c r="E80" s="111">
        <v>990</v>
      </c>
      <c r="F80" s="100"/>
      <c r="G80" s="156"/>
      <c r="H80" s="21"/>
      <c r="I80" s="28"/>
      <c r="J80" s="197" t="str">
        <f t="shared" si="3"/>
        <v>-</v>
      </c>
      <c r="K80" s="198" t="str">
        <f t="shared" si="3"/>
        <v>-</v>
      </c>
      <c r="L80" s="100"/>
      <c r="M80" s="116"/>
      <c r="N80" s="9" t="str">
        <f t="shared" si="4"/>
        <v>-</v>
      </c>
      <c r="O80" s="90" t="str">
        <f t="shared" si="4"/>
        <v>-</v>
      </c>
      <c r="P80" s="100">
        <v>0</v>
      </c>
      <c r="Q80" s="116">
        <v>0</v>
      </c>
      <c r="R80" s="189"/>
    </row>
    <row r="81" spans="1:18" ht="16.5" hidden="1" customHeight="1">
      <c r="A81" s="244"/>
      <c r="B81" s="244"/>
      <c r="C81" s="247"/>
      <c r="D81" s="248" t="s">
        <v>16</v>
      </c>
      <c r="E81" s="249"/>
      <c r="F81" s="99">
        <f>SUM(F80)</f>
        <v>0</v>
      </c>
      <c r="G81" s="155">
        <f>SUM(G80)</f>
        <v>0</v>
      </c>
      <c r="H81" s="170">
        <f>SUM(H80)</f>
        <v>0</v>
      </c>
      <c r="I81" s="171">
        <f>SUM(I80)</f>
        <v>0</v>
      </c>
      <c r="J81" s="209" t="str">
        <f t="shared" si="3"/>
        <v>-</v>
      </c>
      <c r="K81" s="210" t="str">
        <f t="shared" si="3"/>
        <v>-</v>
      </c>
      <c r="L81" s="99">
        <f>SUM(L80)</f>
        <v>0</v>
      </c>
      <c r="M81" s="115">
        <f>SUM(M80)</f>
        <v>0</v>
      </c>
      <c r="N81" s="78" t="str">
        <f t="shared" si="4"/>
        <v>-</v>
      </c>
      <c r="O81" s="89" t="str">
        <f t="shared" si="4"/>
        <v>-</v>
      </c>
      <c r="P81" s="99">
        <f>SUM(P80)</f>
        <v>0</v>
      </c>
      <c r="Q81" s="115">
        <f>SUM(Q80)</f>
        <v>0</v>
      </c>
      <c r="R81" s="189"/>
    </row>
    <row r="82" spans="1:18" ht="16.5" customHeight="1">
      <c r="A82" s="233" t="s">
        <v>58</v>
      </c>
      <c r="B82" s="234"/>
      <c r="C82" s="234"/>
      <c r="D82" s="234"/>
      <c r="E82" s="235"/>
      <c r="F82" s="103">
        <f>F81+F79+F75</f>
        <v>24</v>
      </c>
      <c r="G82" s="160">
        <f>G81+G79+G75</f>
        <v>11640</v>
      </c>
      <c r="H82" s="177">
        <f>H81+H79+H75</f>
        <v>58</v>
      </c>
      <c r="I82" s="178">
        <f>I81+I79+I75</f>
        <v>27890</v>
      </c>
      <c r="J82" s="207">
        <f t="shared" si="3"/>
        <v>0.28888888888888897</v>
      </c>
      <c r="K82" s="208">
        <f t="shared" si="3"/>
        <v>0.3986960882647943</v>
      </c>
      <c r="L82" s="103">
        <f>L81+L79+L75</f>
        <v>45</v>
      </c>
      <c r="M82" s="120">
        <f>M81+M79+M75</f>
        <v>19940</v>
      </c>
      <c r="N82" s="121">
        <f t="shared" si="4"/>
        <v>-0.43689320388349517</v>
      </c>
      <c r="O82" s="125">
        <f t="shared" si="4"/>
        <v>-0.38282805930515595</v>
      </c>
      <c r="P82" s="103">
        <f>P81+P79+P75</f>
        <v>103</v>
      </c>
      <c r="Q82" s="120">
        <f>Q81+Q79+Q75</f>
        <v>45190</v>
      </c>
      <c r="R82" s="188"/>
    </row>
    <row r="83" spans="1:18" ht="17.25" thickBot="1">
      <c r="A83" s="236" t="s">
        <v>55</v>
      </c>
      <c r="B83" s="237"/>
      <c r="C83" s="237"/>
      <c r="D83" s="237"/>
      <c r="E83" s="238"/>
      <c r="F83" s="199">
        <f>F82+F71+F43+F34</f>
        <v>32</v>
      </c>
      <c r="G83" s="225">
        <f>G82+G71+G43+G34</f>
        <v>16030</v>
      </c>
      <c r="H83" s="229">
        <f>H82+H71+H43+H34</f>
        <v>158</v>
      </c>
      <c r="I83" s="230">
        <f>I82+I71+I43+I34</f>
        <v>84945</v>
      </c>
      <c r="J83" s="201">
        <f t="shared" si="3"/>
        <v>-4.8192771084337394E-2</v>
      </c>
      <c r="K83" s="202">
        <f t="shared" si="3"/>
        <v>0.10850841706903291</v>
      </c>
      <c r="L83" s="199">
        <f>L82+L71+L43+L34</f>
        <v>166</v>
      </c>
      <c r="M83" s="200">
        <f>M82+M71+M43+M34</f>
        <v>76630</v>
      </c>
      <c r="N83" s="203">
        <f t="shared" si="4"/>
        <v>-0.56232686980609414</v>
      </c>
      <c r="O83" s="204">
        <f t="shared" si="4"/>
        <v>-0.48757314351209502</v>
      </c>
      <c r="P83" s="199">
        <f>P82+P71+P43+P34</f>
        <v>361</v>
      </c>
      <c r="Q83" s="200">
        <f>Q82+Q71+Q43+Q34</f>
        <v>165770</v>
      </c>
      <c r="R83" s="232"/>
    </row>
    <row r="84" spans="1:18">
      <c r="A84" s="25" t="s">
        <v>42</v>
      </c>
    </row>
    <row r="85" spans="1:18">
      <c r="A85" s="25" t="s">
        <v>40</v>
      </c>
    </row>
    <row r="86" spans="1:18">
      <c r="A86" s="25" t="s">
        <v>41</v>
      </c>
    </row>
    <row r="87" spans="1:18">
      <c r="A87" s="25" t="s">
        <v>89</v>
      </c>
    </row>
  </sheetData>
  <mergeCells count="66">
    <mergeCell ref="A83:E83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D65:E65"/>
    <mergeCell ref="C66:C69"/>
    <mergeCell ref="D69:E69"/>
    <mergeCell ref="C70:E70"/>
    <mergeCell ref="A82:E8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A34:E34"/>
    <mergeCell ref="A35:A42"/>
    <mergeCell ref="B35:B36"/>
    <mergeCell ref="C35:C36"/>
    <mergeCell ref="D36:E36"/>
    <mergeCell ref="B37:B42"/>
    <mergeCell ref="C37:C42"/>
    <mergeCell ref="B25:B33"/>
    <mergeCell ref="C25:C28"/>
    <mergeCell ref="D28:E28"/>
    <mergeCell ref="C29:C32"/>
    <mergeCell ref="D32:E32"/>
    <mergeCell ref="C33:E33"/>
    <mergeCell ref="B16:B24"/>
    <mergeCell ref="C16:C19"/>
    <mergeCell ref="D19:E19"/>
    <mergeCell ref="C20:C23"/>
    <mergeCell ref="D23:E23"/>
    <mergeCell ref="C24:E24"/>
    <mergeCell ref="N5:O5"/>
    <mergeCell ref="P5:Q5"/>
    <mergeCell ref="R5:R6"/>
    <mergeCell ref="A7:A33"/>
    <mergeCell ref="B7:B15"/>
    <mergeCell ref="C7:C10"/>
    <mergeCell ref="D10:E10"/>
    <mergeCell ref="C11:C14"/>
    <mergeCell ref="D14:E14"/>
    <mergeCell ref="C15:E15"/>
    <mergeCell ref="A5:D6"/>
    <mergeCell ref="E5:E6"/>
    <mergeCell ref="F5:G5"/>
    <mergeCell ref="H5:I5"/>
    <mergeCell ref="J5:K5"/>
    <mergeCell ref="L5:M5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ED51-144F-4384-8C73-B0BF08D46CEB}">
  <dimension ref="A1:R87"/>
  <sheetViews>
    <sheetView showGridLines="0" zoomScale="70" zoomScaleNormal="70" workbookViewId="0">
      <selection activeCell="AA24" sqref="AA24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spans="1:18" ht="20.25">
      <c r="A1" s="26" t="s">
        <v>90</v>
      </c>
    </row>
    <row r="2" spans="1:18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spans="1:18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</row>
    <row r="4" spans="1:18" ht="17.25" thickBot="1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7" t="s">
        <v>1</v>
      </c>
    </row>
    <row r="5" spans="1:18" ht="23.25" customHeight="1">
      <c r="A5" s="289" t="s">
        <v>2</v>
      </c>
      <c r="B5" s="290"/>
      <c r="C5" s="290"/>
      <c r="D5" s="291"/>
      <c r="E5" s="295" t="s">
        <v>3</v>
      </c>
      <c r="F5" s="297" t="s">
        <v>92</v>
      </c>
      <c r="G5" s="298"/>
      <c r="H5" s="299" t="s">
        <v>91</v>
      </c>
      <c r="I5" s="300"/>
      <c r="J5" s="301" t="s">
        <v>69</v>
      </c>
      <c r="K5" s="285"/>
      <c r="L5" s="284" t="s">
        <v>88</v>
      </c>
      <c r="M5" s="285"/>
      <c r="N5" s="284" t="s">
        <v>4</v>
      </c>
      <c r="O5" s="285"/>
      <c r="P5" s="284" t="s">
        <v>72</v>
      </c>
      <c r="Q5" s="285"/>
      <c r="R5" s="286" t="s">
        <v>5</v>
      </c>
    </row>
    <row r="6" spans="1:18">
      <c r="A6" s="292"/>
      <c r="B6" s="293"/>
      <c r="C6" s="293"/>
      <c r="D6" s="294"/>
      <c r="E6" s="296"/>
      <c r="F6" s="222" t="s">
        <v>6</v>
      </c>
      <c r="G6" s="194" t="s">
        <v>7</v>
      </c>
      <c r="H6" s="227" t="s">
        <v>8</v>
      </c>
      <c r="I6" s="228" t="s">
        <v>9</v>
      </c>
      <c r="J6" s="226" t="s">
        <v>8</v>
      </c>
      <c r="K6" s="223" t="s">
        <v>9</v>
      </c>
      <c r="L6" s="224" t="s">
        <v>8</v>
      </c>
      <c r="M6" s="223" t="s">
        <v>9</v>
      </c>
      <c r="N6" s="224" t="s">
        <v>8</v>
      </c>
      <c r="O6" s="223" t="s">
        <v>9</v>
      </c>
      <c r="P6" s="224" t="s">
        <v>8</v>
      </c>
      <c r="Q6" s="223" t="s">
        <v>9</v>
      </c>
      <c r="R6" s="287"/>
    </row>
    <row r="7" spans="1:18">
      <c r="A7" s="288" t="s">
        <v>10</v>
      </c>
      <c r="B7" s="258" t="s">
        <v>11</v>
      </c>
      <c r="C7" s="261" t="s">
        <v>12</v>
      </c>
      <c r="D7" s="213" t="s">
        <v>13</v>
      </c>
      <c r="E7" s="68">
        <v>275</v>
      </c>
      <c r="F7" s="13">
        <v>0</v>
      </c>
      <c r="G7" s="14">
        <f>F7*E7</f>
        <v>0</v>
      </c>
      <c r="H7" s="15">
        <f>F7</f>
        <v>0</v>
      </c>
      <c r="I7" s="16">
        <f>H7*E7</f>
        <v>0</v>
      </c>
      <c r="J7" s="205" t="str">
        <f t="shared" ref="J7:K70" si="0">IFERROR(H7/L7-1,"-")</f>
        <v>-</v>
      </c>
      <c r="K7" s="206" t="str">
        <f t="shared" si="0"/>
        <v>-</v>
      </c>
      <c r="L7" s="84">
        <v>0</v>
      </c>
      <c r="M7" s="81"/>
      <c r="N7" s="19">
        <f t="shared" ref="N7:O38" si="1">IFERROR(H7/P7-1,"-")</f>
        <v>-1</v>
      </c>
      <c r="O7" s="87">
        <f t="shared" si="1"/>
        <v>-1</v>
      </c>
      <c r="P7" s="84">
        <f>3+5</f>
        <v>8</v>
      </c>
      <c r="Q7" s="81">
        <f>690+1210</f>
        <v>1900</v>
      </c>
      <c r="R7" s="184" t="s">
        <v>14</v>
      </c>
    </row>
    <row r="8" spans="1:18">
      <c r="A8" s="268"/>
      <c r="B8" s="259"/>
      <c r="C8" s="262"/>
      <c r="D8" s="214" t="s">
        <v>15</v>
      </c>
      <c r="E8" s="69">
        <v>180</v>
      </c>
      <c r="F8" s="12">
        <v>0</v>
      </c>
      <c r="G8" s="150">
        <v>0</v>
      </c>
      <c r="H8" s="10">
        <v>0</v>
      </c>
      <c r="I8" s="11">
        <f>H8*E8</f>
        <v>0</v>
      </c>
      <c r="J8" s="195">
        <f t="shared" si="0"/>
        <v>-1</v>
      </c>
      <c r="K8" s="196">
        <f t="shared" si="0"/>
        <v>-1</v>
      </c>
      <c r="L8" s="85">
        <v>1</v>
      </c>
      <c r="M8" s="82">
        <v>170</v>
      </c>
      <c r="N8" s="77" t="str">
        <f t="shared" si="1"/>
        <v>-</v>
      </c>
      <c r="O8" s="88" t="str">
        <f t="shared" si="1"/>
        <v>-</v>
      </c>
      <c r="P8" s="85">
        <v>0</v>
      </c>
      <c r="Q8" s="82">
        <v>0</v>
      </c>
      <c r="R8" s="185"/>
    </row>
    <row r="9" spans="1:18">
      <c r="A9" s="268"/>
      <c r="B9" s="259"/>
      <c r="C9" s="262"/>
      <c r="D9" s="214" t="s">
        <v>37</v>
      </c>
      <c r="E9" s="69">
        <v>420</v>
      </c>
      <c r="F9" s="12">
        <v>0</v>
      </c>
      <c r="G9" s="150">
        <f>F9*E9</f>
        <v>0</v>
      </c>
      <c r="H9" s="10">
        <v>0</v>
      </c>
      <c r="I9" s="11">
        <f>H9*E9</f>
        <v>0</v>
      </c>
      <c r="J9" s="195" t="str">
        <f t="shared" si="0"/>
        <v>-</v>
      </c>
      <c r="K9" s="196" t="str">
        <f t="shared" si="0"/>
        <v>-</v>
      </c>
      <c r="L9" s="85">
        <v>0</v>
      </c>
      <c r="M9" s="82">
        <v>0</v>
      </c>
      <c r="N9" s="77">
        <f t="shared" si="1"/>
        <v>-1</v>
      </c>
      <c r="O9" s="88">
        <f t="shared" si="1"/>
        <v>-1</v>
      </c>
      <c r="P9" s="85">
        <v>1</v>
      </c>
      <c r="Q9" s="82">
        <v>430</v>
      </c>
      <c r="R9" s="185"/>
    </row>
    <row r="10" spans="1:18">
      <c r="A10" s="268"/>
      <c r="B10" s="259"/>
      <c r="C10" s="263"/>
      <c r="D10" s="250" t="s">
        <v>16</v>
      </c>
      <c r="E10" s="251"/>
      <c r="F10" s="65">
        <f>SUM(F7:F9)</f>
        <v>0</v>
      </c>
      <c r="G10" s="151">
        <f>SUM(G7:G9)</f>
        <v>0</v>
      </c>
      <c r="H10" s="164">
        <f>SUM(H7:H9)</f>
        <v>0</v>
      </c>
      <c r="I10" s="165">
        <f>SUM(I7:I9)</f>
        <v>0</v>
      </c>
      <c r="J10" s="209">
        <f t="shared" si="0"/>
        <v>-1</v>
      </c>
      <c r="K10" s="210">
        <f t="shared" si="0"/>
        <v>-1</v>
      </c>
      <c r="L10" s="65">
        <f>SUM(L7:L9)</f>
        <v>1</v>
      </c>
      <c r="M10" s="74">
        <f>SUM(M7:M9)</f>
        <v>170</v>
      </c>
      <c r="N10" s="78">
        <f t="shared" si="1"/>
        <v>-1</v>
      </c>
      <c r="O10" s="89">
        <f t="shared" si="1"/>
        <v>-1</v>
      </c>
      <c r="P10" s="65">
        <f>SUM(P7:P9)</f>
        <v>9</v>
      </c>
      <c r="Q10" s="74">
        <f>SUM(Q7:Q9)</f>
        <v>2330</v>
      </c>
      <c r="R10" s="185"/>
    </row>
    <row r="11" spans="1:18">
      <c r="A11" s="268"/>
      <c r="B11" s="259"/>
      <c r="C11" s="261" t="s">
        <v>17</v>
      </c>
      <c r="D11" s="215" t="s">
        <v>18</v>
      </c>
      <c r="E11" s="70">
        <v>550</v>
      </c>
      <c r="F11" s="5">
        <v>0</v>
      </c>
      <c r="G11" s="6">
        <f>F11*E11</f>
        <v>0</v>
      </c>
      <c r="H11" s="7">
        <v>7</v>
      </c>
      <c r="I11" s="8">
        <f>H11*E11</f>
        <v>3850</v>
      </c>
      <c r="J11" s="197">
        <f>IFERROR(H11/L11-1,"-")</f>
        <v>-0.30000000000000004</v>
      </c>
      <c r="K11" s="198">
        <f t="shared" si="0"/>
        <v>-0.27358490566037741</v>
      </c>
      <c r="L11" s="86">
        <v>10</v>
      </c>
      <c r="M11" s="83">
        <v>5300</v>
      </c>
      <c r="N11" s="9">
        <f t="shared" si="1"/>
        <v>-0.65</v>
      </c>
      <c r="O11" s="90">
        <f t="shared" si="1"/>
        <v>-0.6367924528301887</v>
      </c>
      <c r="P11" s="86">
        <v>20</v>
      </c>
      <c r="Q11" s="83">
        <f>1060+9540</f>
        <v>10600</v>
      </c>
      <c r="R11" s="185"/>
    </row>
    <row r="12" spans="1:18">
      <c r="A12" s="268"/>
      <c r="B12" s="259"/>
      <c r="C12" s="262"/>
      <c r="D12" s="214" t="s">
        <v>19</v>
      </c>
      <c r="E12" s="69">
        <v>675</v>
      </c>
      <c r="F12" s="12">
        <v>0</v>
      </c>
      <c r="G12" s="150">
        <f>F12*E12</f>
        <v>0</v>
      </c>
      <c r="H12" s="10">
        <v>7</v>
      </c>
      <c r="I12" s="11">
        <f>H12*E12</f>
        <v>4725</v>
      </c>
      <c r="J12" s="195">
        <f t="shared" si="0"/>
        <v>-0.22222222222222221</v>
      </c>
      <c r="K12" s="196">
        <f t="shared" si="0"/>
        <v>-0.1796875</v>
      </c>
      <c r="L12" s="85">
        <v>9</v>
      </c>
      <c r="M12" s="82">
        <v>5760</v>
      </c>
      <c r="N12" s="77">
        <f t="shared" si="1"/>
        <v>-0.75</v>
      </c>
      <c r="O12" s="88">
        <f t="shared" si="1"/>
        <v>-0.7265625</v>
      </c>
      <c r="P12" s="85">
        <v>28</v>
      </c>
      <c r="Q12" s="82">
        <f>9600+7680</f>
        <v>17280</v>
      </c>
      <c r="R12" s="185"/>
    </row>
    <row r="13" spans="1:18">
      <c r="A13" s="268"/>
      <c r="B13" s="259"/>
      <c r="C13" s="262"/>
      <c r="D13" s="214" t="s">
        <v>38</v>
      </c>
      <c r="E13" s="69">
        <v>810</v>
      </c>
      <c r="F13" s="12">
        <v>0</v>
      </c>
      <c r="G13" s="150">
        <f>F13*E13</f>
        <v>0</v>
      </c>
      <c r="H13" s="10">
        <v>3</v>
      </c>
      <c r="I13" s="11">
        <f>H13*E13</f>
        <v>2430</v>
      </c>
      <c r="J13" s="195" t="str">
        <f t="shared" si="0"/>
        <v>-</v>
      </c>
      <c r="K13" s="196" t="str">
        <f t="shared" si="0"/>
        <v>-</v>
      </c>
      <c r="L13" s="85">
        <v>0</v>
      </c>
      <c r="M13" s="82">
        <v>0</v>
      </c>
      <c r="N13" s="77" t="str">
        <f t="shared" si="1"/>
        <v>-</v>
      </c>
      <c r="O13" s="88" t="str">
        <f t="shared" si="1"/>
        <v>-</v>
      </c>
      <c r="P13" s="85">
        <v>0</v>
      </c>
      <c r="Q13" s="82">
        <v>0</v>
      </c>
      <c r="R13" s="185"/>
    </row>
    <row r="14" spans="1:18">
      <c r="A14" s="268"/>
      <c r="B14" s="259"/>
      <c r="C14" s="263"/>
      <c r="D14" s="250" t="s">
        <v>16</v>
      </c>
      <c r="E14" s="251"/>
      <c r="F14" s="65">
        <f>SUM(F11:F13)</f>
        <v>0</v>
      </c>
      <c r="G14" s="151">
        <f>SUM(G11:G13)</f>
        <v>0</v>
      </c>
      <c r="H14" s="164">
        <f>SUM(H11:H13)</f>
        <v>17</v>
      </c>
      <c r="I14" s="165">
        <f>SUM(I11:I13)</f>
        <v>11005</v>
      </c>
      <c r="J14" s="209">
        <f t="shared" si="0"/>
        <v>-0.10526315789473684</v>
      </c>
      <c r="K14" s="210">
        <f t="shared" si="0"/>
        <v>-4.9728752260397302E-3</v>
      </c>
      <c r="L14" s="65">
        <f>SUM(L11:L13)</f>
        <v>19</v>
      </c>
      <c r="M14" s="74">
        <f>SUM(M11:M13)</f>
        <v>11060</v>
      </c>
      <c r="N14" s="78">
        <f t="shared" si="1"/>
        <v>-0.64583333333333326</v>
      </c>
      <c r="O14" s="89">
        <f t="shared" si="1"/>
        <v>-0.60527259684361545</v>
      </c>
      <c r="P14" s="65">
        <f>SUM(P11:P13)</f>
        <v>48</v>
      </c>
      <c r="Q14" s="74">
        <f>SUM(Q11:Q13)</f>
        <v>27880</v>
      </c>
      <c r="R14" s="185"/>
    </row>
    <row r="15" spans="1:18">
      <c r="A15" s="268"/>
      <c r="B15" s="260"/>
      <c r="C15" s="255" t="s">
        <v>20</v>
      </c>
      <c r="D15" s="256"/>
      <c r="E15" s="257"/>
      <c r="F15" s="102">
        <f>SUM(F10,F14)</f>
        <v>0</v>
      </c>
      <c r="G15" s="159">
        <f>SUM(G10,G14)</f>
        <v>0</v>
      </c>
      <c r="H15" s="175">
        <f>H14+H10</f>
        <v>17</v>
      </c>
      <c r="I15" s="176">
        <f>I14+I10</f>
        <v>11005</v>
      </c>
      <c r="J15" s="211">
        <f t="shared" si="0"/>
        <v>-0.15000000000000002</v>
      </c>
      <c r="K15" s="212">
        <f t="shared" si="0"/>
        <v>-2.0035618878005312E-2</v>
      </c>
      <c r="L15" s="102">
        <f>L14+L10</f>
        <v>20</v>
      </c>
      <c r="M15" s="119">
        <f>M14+M10</f>
        <v>11230</v>
      </c>
      <c r="N15" s="122">
        <f t="shared" si="1"/>
        <v>-0.70175438596491224</v>
      </c>
      <c r="O15" s="126">
        <f t="shared" si="1"/>
        <v>-0.63571665011585565</v>
      </c>
      <c r="P15" s="102">
        <f>SUM(P10,P14)</f>
        <v>57</v>
      </c>
      <c r="Q15" s="119">
        <f>SUM(Q10,Q14)</f>
        <v>30210</v>
      </c>
      <c r="R15" s="191"/>
    </row>
    <row r="16" spans="1:18">
      <c r="A16" s="268"/>
      <c r="B16" s="258" t="s">
        <v>21</v>
      </c>
      <c r="C16" s="261" t="s">
        <v>12</v>
      </c>
      <c r="D16" s="215" t="s">
        <v>13</v>
      </c>
      <c r="E16" s="70">
        <v>190</v>
      </c>
      <c r="F16" s="5">
        <v>0</v>
      </c>
      <c r="G16" s="6">
        <f>F16*E16</f>
        <v>0</v>
      </c>
      <c r="H16" s="7">
        <v>0</v>
      </c>
      <c r="I16" s="8">
        <f>H16*E16</f>
        <v>0</v>
      </c>
      <c r="J16" s="197">
        <f t="shared" si="0"/>
        <v>-1</v>
      </c>
      <c r="K16" s="198">
        <f t="shared" si="0"/>
        <v>-1</v>
      </c>
      <c r="L16" s="86">
        <v>1</v>
      </c>
      <c r="M16" s="83">
        <v>190</v>
      </c>
      <c r="N16" s="9">
        <f t="shared" si="1"/>
        <v>-1</v>
      </c>
      <c r="O16" s="90">
        <f t="shared" si="1"/>
        <v>-1</v>
      </c>
      <c r="P16" s="86">
        <v>5</v>
      </c>
      <c r="Q16" s="83">
        <v>670</v>
      </c>
      <c r="R16" s="185" t="s">
        <v>22</v>
      </c>
    </row>
    <row r="17" spans="1:18">
      <c r="A17" s="268"/>
      <c r="B17" s="259"/>
      <c r="C17" s="262"/>
      <c r="D17" s="214" t="s">
        <v>15</v>
      </c>
      <c r="E17" s="69">
        <v>120</v>
      </c>
      <c r="F17" s="12">
        <v>0</v>
      </c>
      <c r="G17" s="150">
        <f>F17*E17</f>
        <v>0</v>
      </c>
      <c r="H17" s="10">
        <v>0</v>
      </c>
      <c r="I17" s="11">
        <f>H17*E17</f>
        <v>0</v>
      </c>
      <c r="J17" s="195">
        <f t="shared" si="0"/>
        <v>-1</v>
      </c>
      <c r="K17" s="196">
        <f t="shared" si="0"/>
        <v>-1</v>
      </c>
      <c r="L17" s="85">
        <v>1</v>
      </c>
      <c r="M17" s="82">
        <v>120</v>
      </c>
      <c r="N17" s="77">
        <f t="shared" si="1"/>
        <v>-1</v>
      </c>
      <c r="O17" s="88">
        <f t="shared" si="1"/>
        <v>-1</v>
      </c>
      <c r="P17" s="85">
        <v>3</v>
      </c>
      <c r="Q17" s="82">
        <v>430</v>
      </c>
      <c r="R17" s="185"/>
    </row>
    <row r="18" spans="1:18">
      <c r="A18" s="268"/>
      <c r="B18" s="259"/>
      <c r="C18" s="262"/>
      <c r="D18" s="214" t="s">
        <v>37</v>
      </c>
      <c r="E18" s="69">
        <v>300</v>
      </c>
      <c r="F18" s="12">
        <v>0</v>
      </c>
      <c r="G18" s="150">
        <f>F18*E18</f>
        <v>0</v>
      </c>
      <c r="H18" s="10">
        <v>0</v>
      </c>
      <c r="I18" s="11">
        <f>H18*E18</f>
        <v>0</v>
      </c>
      <c r="J18" s="195" t="str">
        <f t="shared" si="0"/>
        <v>-</v>
      </c>
      <c r="K18" s="196" t="str">
        <f t="shared" si="0"/>
        <v>-</v>
      </c>
      <c r="L18" s="85">
        <v>0</v>
      </c>
      <c r="M18" s="82">
        <v>0</v>
      </c>
      <c r="N18" s="77" t="str">
        <f t="shared" si="1"/>
        <v>-</v>
      </c>
      <c r="O18" s="88" t="str">
        <f t="shared" si="1"/>
        <v>-</v>
      </c>
      <c r="P18" s="85">
        <v>0</v>
      </c>
      <c r="Q18" s="82">
        <v>0</v>
      </c>
      <c r="R18" s="185" t="s">
        <v>23</v>
      </c>
    </row>
    <row r="19" spans="1:18">
      <c r="A19" s="268"/>
      <c r="B19" s="259"/>
      <c r="C19" s="263"/>
      <c r="D19" s="250" t="s">
        <v>16</v>
      </c>
      <c r="E19" s="251"/>
      <c r="F19" s="65">
        <f>SUM(F16:F18)</f>
        <v>0</v>
      </c>
      <c r="G19" s="151">
        <f>SUM(G16:G18)</f>
        <v>0</v>
      </c>
      <c r="H19" s="164">
        <f>SUM(H16:H18)</f>
        <v>0</v>
      </c>
      <c r="I19" s="165">
        <f>SUM(I16:I18)</f>
        <v>0</v>
      </c>
      <c r="J19" s="209">
        <f t="shared" si="0"/>
        <v>-1</v>
      </c>
      <c r="K19" s="210">
        <f t="shared" si="0"/>
        <v>-1</v>
      </c>
      <c r="L19" s="65">
        <f>SUM(L16:L18)</f>
        <v>2</v>
      </c>
      <c r="M19" s="74">
        <f>SUM(M16:M18)</f>
        <v>310</v>
      </c>
      <c r="N19" s="78">
        <f t="shared" si="1"/>
        <v>-1</v>
      </c>
      <c r="O19" s="89">
        <f t="shared" si="1"/>
        <v>-1</v>
      </c>
      <c r="P19" s="65">
        <f>SUM(P16:P18)</f>
        <v>8</v>
      </c>
      <c r="Q19" s="74">
        <f>SUM(Q16:Q18)</f>
        <v>1100</v>
      </c>
      <c r="R19" s="185" t="s">
        <v>24</v>
      </c>
    </row>
    <row r="20" spans="1:18">
      <c r="A20" s="268"/>
      <c r="B20" s="259"/>
      <c r="C20" s="261" t="s">
        <v>17</v>
      </c>
      <c r="D20" s="215" t="s">
        <v>18</v>
      </c>
      <c r="E20" s="70">
        <v>440</v>
      </c>
      <c r="F20" s="5">
        <v>0</v>
      </c>
      <c r="G20" s="6">
        <f>F20*E20</f>
        <v>0</v>
      </c>
      <c r="H20" s="7">
        <v>1</v>
      </c>
      <c r="I20" s="8">
        <f>H20*E20</f>
        <v>440</v>
      </c>
      <c r="J20" s="197">
        <f t="shared" si="0"/>
        <v>-0.8</v>
      </c>
      <c r="K20" s="198">
        <f t="shared" si="0"/>
        <v>-0.8</v>
      </c>
      <c r="L20" s="86">
        <v>5</v>
      </c>
      <c r="M20" s="83">
        <v>2200</v>
      </c>
      <c r="N20" s="9">
        <f t="shared" si="1"/>
        <v>-0.94117647058823528</v>
      </c>
      <c r="O20" s="90">
        <f t="shared" si="1"/>
        <v>-0.94117647058823528</v>
      </c>
      <c r="P20" s="86">
        <f>16+1</f>
        <v>17</v>
      </c>
      <c r="Q20" s="83">
        <f>1320+5720+440</f>
        <v>7480</v>
      </c>
      <c r="R20" s="185" t="s">
        <v>25</v>
      </c>
    </row>
    <row r="21" spans="1:18">
      <c r="A21" s="268"/>
      <c r="B21" s="259"/>
      <c r="C21" s="262"/>
      <c r="D21" s="214" t="s">
        <v>19</v>
      </c>
      <c r="E21" s="69">
        <v>520</v>
      </c>
      <c r="F21" s="12">
        <v>2</v>
      </c>
      <c r="G21" s="150">
        <f>F21*E21</f>
        <v>1040</v>
      </c>
      <c r="H21" s="10">
        <v>4</v>
      </c>
      <c r="I21" s="11">
        <f>H21*E21</f>
        <v>2080</v>
      </c>
      <c r="J21" s="195">
        <f t="shared" si="0"/>
        <v>-0.33333333333333337</v>
      </c>
      <c r="K21" s="196">
        <f t="shared" si="0"/>
        <v>-0.33333333333333337</v>
      </c>
      <c r="L21" s="85">
        <v>6</v>
      </c>
      <c r="M21" s="82">
        <v>3120</v>
      </c>
      <c r="N21" s="77">
        <f t="shared" si="1"/>
        <v>-0.69230769230769229</v>
      </c>
      <c r="O21" s="88">
        <f t="shared" si="1"/>
        <v>-0.69230769230769229</v>
      </c>
      <c r="P21" s="85">
        <f>9+4</f>
        <v>13</v>
      </c>
      <c r="Q21" s="82">
        <f>1560+3120+2080</f>
        <v>6760</v>
      </c>
      <c r="R21" s="185"/>
    </row>
    <row r="22" spans="1:18">
      <c r="A22" s="268"/>
      <c r="B22" s="259"/>
      <c r="C22" s="262"/>
      <c r="D22" s="214" t="s">
        <v>38</v>
      </c>
      <c r="E22" s="69">
        <v>600</v>
      </c>
      <c r="F22" s="12">
        <v>0</v>
      </c>
      <c r="G22" s="150">
        <f>F22*E22</f>
        <v>0</v>
      </c>
      <c r="H22" s="10">
        <v>0</v>
      </c>
      <c r="I22" s="11">
        <f>H22*E22</f>
        <v>0</v>
      </c>
      <c r="J22" s="195" t="str">
        <f t="shared" si="0"/>
        <v>-</v>
      </c>
      <c r="K22" s="196" t="str">
        <f t="shared" si="0"/>
        <v>-</v>
      </c>
      <c r="L22" s="85">
        <v>0</v>
      </c>
      <c r="M22" s="82">
        <v>0</v>
      </c>
      <c r="N22" s="77" t="str">
        <f t="shared" si="1"/>
        <v>-</v>
      </c>
      <c r="O22" s="88" t="str">
        <f t="shared" si="1"/>
        <v>-</v>
      </c>
      <c r="P22" s="85">
        <v>0</v>
      </c>
      <c r="Q22" s="82">
        <v>0</v>
      </c>
      <c r="R22" s="185"/>
    </row>
    <row r="23" spans="1:18">
      <c r="A23" s="268"/>
      <c r="B23" s="259"/>
      <c r="C23" s="263"/>
      <c r="D23" s="250" t="s">
        <v>16</v>
      </c>
      <c r="E23" s="251"/>
      <c r="F23" s="65">
        <f>SUM(F20:F22)</f>
        <v>2</v>
      </c>
      <c r="G23" s="151">
        <f>SUM(G20:G22)</f>
        <v>1040</v>
      </c>
      <c r="H23" s="164">
        <f>SUM(H20:H22)</f>
        <v>5</v>
      </c>
      <c r="I23" s="165">
        <f>SUM(I20:I22)</f>
        <v>2520</v>
      </c>
      <c r="J23" s="209">
        <f t="shared" si="0"/>
        <v>-0.54545454545454541</v>
      </c>
      <c r="K23" s="210">
        <f t="shared" si="0"/>
        <v>-0.52631578947368429</v>
      </c>
      <c r="L23" s="65">
        <f>SUM(L20:L22)</f>
        <v>11</v>
      </c>
      <c r="M23" s="74">
        <f>SUM(M20:M22)</f>
        <v>5320</v>
      </c>
      <c r="N23" s="78">
        <f t="shared" si="1"/>
        <v>-0.83333333333333337</v>
      </c>
      <c r="O23" s="89">
        <f t="shared" si="1"/>
        <v>-0.82303370786516861</v>
      </c>
      <c r="P23" s="65">
        <f>SUM(P20:P22)</f>
        <v>30</v>
      </c>
      <c r="Q23" s="74">
        <f>SUM(Q20:Q22)</f>
        <v>14240</v>
      </c>
      <c r="R23" s="185"/>
    </row>
    <row r="24" spans="1:18">
      <c r="A24" s="268"/>
      <c r="B24" s="260"/>
      <c r="C24" s="255" t="s">
        <v>20</v>
      </c>
      <c r="D24" s="256"/>
      <c r="E24" s="257"/>
      <c r="F24" s="102">
        <f>SUM(F19,F23)</f>
        <v>2</v>
      </c>
      <c r="G24" s="159">
        <f>SUM(G19,G23)</f>
        <v>1040</v>
      </c>
      <c r="H24" s="175">
        <f>H23+H19</f>
        <v>5</v>
      </c>
      <c r="I24" s="176">
        <f>I23+I19</f>
        <v>2520</v>
      </c>
      <c r="J24" s="211">
        <f t="shared" si="0"/>
        <v>-0.61538461538461542</v>
      </c>
      <c r="K24" s="212">
        <f t="shared" si="0"/>
        <v>-0.55239786856127893</v>
      </c>
      <c r="L24" s="102">
        <f>L23+L19</f>
        <v>13</v>
      </c>
      <c r="M24" s="119">
        <f>M23+M19</f>
        <v>5630</v>
      </c>
      <c r="N24" s="122">
        <f t="shared" si="1"/>
        <v>-0.86842105263157898</v>
      </c>
      <c r="O24" s="126">
        <f t="shared" si="1"/>
        <v>-0.83572359843546284</v>
      </c>
      <c r="P24" s="102">
        <f>SUM(P19,P23)</f>
        <v>38</v>
      </c>
      <c r="Q24" s="119">
        <f>SUM(Q19,Q23)</f>
        <v>15340</v>
      </c>
      <c r="R24" s="191"/>
    </row>
    <row r="25" spans="1:18">
      <c r="A25" s="268"/>
      <c r="B25" s="258" t="s">
        <v>26</v>
      </c>
      <c r="C25" s="261" t="s">
        <v>12</v>
      </c>
      <c r="D25" s="215" t="s">
        <v>13</v>
      </c>
      <c r="E25" s="70">
        <v>190</v>
      </c>
      <c r="F25" s="5">
        <v>0</v>
      </c>
      <c r="G25" s="6">
        <f>F25*E25</f>
        <v>0</v>
      </c>
      <c r="H25" s="7">
        <v>1</v>
      </c>
      <c r="I25" s="8">
        <f>H25*E25</f>
        <v>190</v>
      </c>
      <c r="J25" s="197">
        <f t="shared" si="0"/>
        <v>-0.88888888888888884</v>
      </c>
      <c r="K25" s="198">
        <f t="shared" si="0"/>
        <v>-0.88888888888888884</v>
      </c>
      <c r="L25" s="86">
        <v>9</v>
      </c>
      <c r="M25" s="83">
        <v>1710</v>
      </c>
      <c r="N25" s="9">
        <f t="shared" si="1"/>
        <v>-0.94736842105263164</v>
      </c>
      <c r="O25" s="90">
        <f t="shared" si="1"/>
        <v>-0.93470790378006874</v>
      </c>
      <c r="P25" s="86">
        <v>19</v>
      </c>
      <c r="Q25" s="83">
        <v>2910</v>
      </c>
      <c r="R25" s="185" t="s">
        <v>22</v>
      </c>
    </row>
    <row r="26" spans="1:18">
      <c r="A26" s="268"/>
      <c r="B26" s="259"/>
      <c r="C26" s="262"/>
      <c r="D26" s="214" t="s">
        <v>15</v>
      </c>
      <c r="E26" s="69">
        <v>120</v>
      </c>
      <c r="F26" s="12">
        <v>0</v>
      </c>
      <c r="G26" s="150">
        <f>F26*E26</f>
        <v>0</v>
      </c>
      <c r="H26" s="10">
        <v>3</v>
      </c>
      <c r="I26" s="11">
        <f>H26*E26</f>
        <v>360</v>
      </c>
      <c r="J26" s="195">
        <f t="shared" si="0"/>
        <v>-0.5714285714285714</v>
      </c>
      <c r="K26" s="196">
        <f t="shared" si="0"/>
        <v>-0.5714285714285714</v>
      </c>
      <c r="L26" s="85">
        <v>7</v>
      </c>
      <c r="M26" s="82">
        <v>840</v>
      </c>
      <c r="N26" s="77" t="str">
        <f t="shared" si="1"/>
        <v>-</v>
      </c>
      <c r="O26" s="88" t="str">
        <f t="shared" si="1"/>
        <v>-</v>
      </c>
      <c r="P26" s="85">
        <v>0</v>
      </c>
      <c r="Q26" s="82">
        <v>0</v>
      </c>
      <c r="R26" s="185"/>
    </row>
    <row r="27" spans="1:18">
      <c r="A27" s="268"/>
      <c r="B27" s="259"/>
      <c r="C27" s="262"/>
      <c r="D27" s="214" t="s">
        <v>37</v>
      </c>
      <c r="E27" s="69">
        <v>300</v>
      </c>
      <c r="F27" s="12">
        <v>1</v>
      </c>
      <c r="G27" s="150">
        <f>F27*E27</f>
        <v>300</v>
      </c>
      <c r="H27" s="10">
        <v>6</v>
      </c>
      <c r="I27" s="11">
        <f>H27*E27</f>
        <v>1800</v>
      </c>
      <c r="J27" s="195" t="str">
        <f t="shared" si="0"/>
        <v>-</v>
      </c>
      <c r="K27" s="196" t="str">
        <f t="shared" si="0"/>
        <v>-</v>
      </c>
      <c r="L27" s="85">
        <v>0</v>
      </c>
      <c r="M27" s="82">
        <v>0</v>
      </c>
      <c r="N27" s="77">
        <f t="shared" si="1"/>
        <v>-0.1428571428571429</v>
      </c>
      <c r="O27" s="88">
        <f t="shared" si="1"/>
        <v>-0.17050691244239635</v>
      </c>
      <c r="P27" s="85">
        <v>7</v>
      </c>
      <c r="Q27" s="82">
        <v>2170</v>
      </c>
      <c r="R27" s="185" t="s">
        <v>27</v>
      </c>
    </row>
    <row r="28" spans="1:18">
      <c r="A28" s="268"/>
      <c r="B28" s="259"/>
      <c r="C28" s="263"/>
      <c r="D28" s="250" t="s">
        <v>16</v>
      </c>
      <c r="E28" s="251"/>
      <c r="F28" s="65">
        <f>SUM(F25:F27)</f>
        <v>1</v>
      </c>
      <c r="G28" s="151">
        <f>SUM(G25:G27)</f>
        <v>300</v>
      </c>
      <c r="H28" s="164">
        <f>SUM(H25:H27)</f>
        <v>10</v>
      </c>
      <c r="I28" s="165">
        <f>SUM(I25:I27)</f>
        <v>2350</v>
      </c>
      <c r="J28" s="209">
        <f t="shared" si="0"/>
        <v>-0.375</v>
      </c>
      <c r="K28" s="210">
        <f t="shared" si="0"/>
        <v>-7.8431372549019662E-2</v>
      </c>
      <c r="L28" s="65">
        <f>SUM(L25:L27)</f>
        <v>16</v>
      </c>
      <c r="M28" s="74">
        <f>SUM(M25:M27)</f>
        <v>2550</v>
      </c>
      <c r="N28" s="78">
        <f t="shared" si="1"/>
        <v>-0.61538461538461542</v>
      </c>
      <c r="O28" s="89">
        <f t="shared" si="1"/>
        <v>-0.53740157480314954</v>
      </c>
      <c r="P28" s="65">
        <f>SUM(P25:P27)</f>
        <v>26</v>
      </c>
      <c r="Q28" s="74">
        <f>SUM(Q25:Q27)</f>
        <v>5080</v>
      </c>
      <c r="R28" s="185"/>
    </row>
    <row r="29" spans="1:18">
      <c r="A29" s="268"/>
      <c r="B29" s="259"/>
      <c r="C29" s="261" t="s">
        <v>17</v>
      </c>
      <c r="D29" s="215" t="s">
        <v>18</v>
      </c>
      <c r="E29" s="70">
        <v>440</v>
      </c>
      <c r="F29" s="5">
        <v>0</v>
      </c>
      <c r="G29" s="6">
        <f>F29*E29</f>
        <v>0</v>
      </c>
      <c r="H29" s="7">
        <v>30</v>
      </c>
      <c r="I29" s="8">
        <f>H29*E29</f>
        <v>13200</v>
      </c>
      <c r="J29" s="197">
        <f t="shared" si="0"/>
        <v>-0.16666666666666663</v>
      </c>
      <c r="K29" s="198">
        <f t="shared" si="0"/>
        <v>-0.16666666666666663</v>
      </c>
      <c r="L29" s="86">
        <v>36</v>
      </c>
      <c r="M29" s="83">
        <v>15840</v>
      </c>
      <c r="N29" s="9">
        <f t="shared" si="1"/>
        <v>-0.44444444444444442</v>
      </c>
      <c r="O29" s="90">
        <f t="shared" si="1"/>
        <v>-0.44444444444444442</v>
      </c>
      <c r="P29" s="86">
        <v>54</v>
      </c>
      <c r="Q29" s="83">
        <v>23760</v>
      </c>
      <c r="R29" s="185"/>
    </row>
    <row r="30" spans="1:18">
      <c r="A30" s="268"/>
      <c r="B30" s="259"/>
      <c r="C30" s="262"/>
      <c r="D30" s="214" t="s">
        <v>19</v>
      </c>
      <c r="E30" s="69">
        <v>520</v>
      </c>
      <c r="F30" s="12">
        <v>1</v>
      </c>
      <c r="G30" s="150">
        <f>F30*E30</f>
        <v>520</v>
      </c>
      <c r="H30" s="10">
        <v>20</v>
      </c>
      <c r="I30" s="11">
        <f>H30*E30</f>
        <v>10400</v>
      </c>
      <c r="J30" s="195">
        <f t="shared" si="0"/>
        <v>-0.375</v>
      </c>
      <c r="K30" s="196">
        <f t="shared" si="0"/>
        <v>-0.375</v>
      </c>
      <c r="L30" s="85">
        <v>32</v>
      </c>
      <c r="M30" s="82">
        <v>16640</v>
      </c>
      <c r="N30" s="77">
        <f t="shared" si="1"/>
        <v>-0.51219512195121952</v>
      </c>
      <c r="O30" s="88">
        <f t="shared" si="1"/>
        <v>-0.52380952380952384</v>
      </c>
      <c r="P30" s="85">
        <v>41</v>
      </c>
      <c r="Q30" s="82">
        <v>21840</v>
      </c>
      <c r="R30" s="185"/>
    </row>
    <row r="31" spans="1:18">
      <c r="A31" s="268"/>
      <c r="B31" s="259"/>
      <c r="C31" s="262"/>
      <c r="D31" s="214" t="s">
        <v>38</v>
      </c>
      <c r="E31" s="69">
        <v>600</v>
      </c>
      <c r="F31" s="12">
        <v>0</v>
      </c>
      <c r="G31" s="150">
        <f>F31*E31</f>
        <v>0</v>
      </c>
      <c r="H31" s="10">
        <v>6</v>
      </c>
      <c r="I31" s="11">
        <f>H31*E31</f>
        <v>3600</v>
      </c>
      <c r="J31" s="195" t="str">
        <f t="shared" si="0"/>
        <v>-</v>
      </c>
      <c r="K31" s="196" t="str">
        <f t="shared" si="0"/>
        <v>-</v>
      </c>
      <c r="L31" s="85">
        <v>0</v>
      </c>
      <c r="M31" s="82">
        <v>0</v>
      </c>
      <c r="N31" s="77" t="str">
        <f t="shared" si="1"/>
        <v>-</v>
      </c>
      <c r="O31" s="88" t="str">
        <f t="shared" si="1"/>
        <v>-</v>
      </c>
      <c r="P31" s="85">
        <v>0</v>
      </c>
      <c r="Q31" s="82">
        <v>0</v>
      </c>
      <c r="R31" s="185"/>
    </row>
    <row r="32" spans="1:18">
      <c r="A32" s="268"/>
      <c r="B32" s="259"/>
      <c r="C32" s="263"/>
      <c r="D32" s="250" t="s">
        <v>16</v>
      </c>
      <c r="E32" s="251"/>
      <c r="F32" s="65">
        <f>SUM(F29:F31)</f>
        <v>1</v>
      </c>
      <c r="G32" s="151">
        <f>SUM(G29:G31)</f>
        <v>520</v>
      </c>
      <c r="H32" s="164">
        <f>SUM(H29:H31)</f>
        <v>56</v>
      </c>
      <c r="I32" s="165">
        <f>SUM(I29:I31)</f>
        <v>27200</v>
      </c>
      <c r="J32" s="209">
        <f t="shared" si="0"/>
        <v>-0.17647058823529416</v>
      </c>
      <c r="K32" s="210">
        <f t="shared" si="0"/>
        <v>-0.16256157635467983</v>
      </c>
      <c r="L32" s="65">
        <f>SUM(L29:L31)</f>
        <v>68</v>
      </c>
      <c r="M32" s="74">
        <f>SUM(M29:M31)</f>
        <v>32480</v>
      </c>
      <c r="N32" s="78">
        <f t="shared" si="1"/>
        <v>-0.41052631578947374</v>
      </c>
      <c r="O32" s="89">
        <f t="shared" si="1"/>
        <v>-0.40350877192982459</v>
      </c>
      <c r="P32" s="65">
        <f>SUM(P29:P31)</f>
        <v>95</v>
      </c>
      <c r="Q32" s="74">
        <f>SUM(Q29:Q31)</f>
        <v>45600</v>
      </c>
      <c r="R32" s="185"/>
    </row>
    <row r="33" spans="1:18">
      <c r="A33" s="269"/>
      <c r="B33" s="260"/>
      <c r="C33" s="255" t="s">
        <v>20</v>
      </c>
      <c r="D33" s="256"/>
      <c r="E33" s="257"/>
      <c r="F33" s="102">
        <f>SUM(F28,F32)</f>
        <v>2</v>
      </c>
      <c r="G33" s="159">
        <f>SUM(G28,G32)</f>
        <v>820</v>
      </c>
      <c r="H33" s="175">
        <f>H32+H28</f>
        <v>66</v>
      </c>
      <c r="I33" s="176">
        <f>I32+I28</f>
        <v>29550</v>
      </c>
      <c r="J33" s="211">
        <f t="shared" si="0"/>
        <v>-0.2142857142857143</v>
      </c>
      <c r="K33" s="212">
        <f t="shared" si="0"/>
        <v>-0.15643733942335136</v>
      </c>
      <c r="L33" s="102">
        <f>L32+L28</f>
        <v>84</v>
      </c>
      <c r="M33" s="119">
        <f>M32+M28</f>
        <v>35030</v>
      </c>
      <c r="N33" s="122">
        <f t="shared" si="1"/>
        <v>-0.45454545454545459</v>
      </c>
      <c r="O33" s="126">
        <f t="shared" si="1"/>
        <v>-0.41692975532754539</v>
      </c>
      <c r="P33" s="102">
        <f>SUM(P28,P32)</f>
        <v>121</v>
      </c>
      <c r="Q33" s="119">
        <f>SUM(Q28,Q32)</f>
        <v>50680</v>
      </c>
      <c r="R33" s="191"/>
    </row>
    <row r="34" spans="1:18">
      <c r="A34" s="239" t="s">
        <v>28</v>
      </c>
      <c r="B34" s="240"/>
      <c r="C34" s="240"/>
      <c r="D34" s="240"/>
      <c r="E34" s="241"/>
      <c r="F34" s="97">
        <f>F15+F24+F33</f>
        <v>4</v>
      </c>
      <c r="G34" s="158">
        <f>G15+G24+G33</f>
        <v>1860</v>
      </c>
      <c r="H34" s="173">
        <f>H15+H24+H33</f>
        <v>88</v>
      </c>
      <c r="I34" s="174">
        <f>I15+I24+I33</f>
        <v>43075</v>
      </c>
      <c r="J34" s="207">
        <f t="shared" si="0"/>
        <v>-0.24786324786324787</v>
      </c>
      <c r="K34" s="208">
        <f t="shared" si="0"/>
        <v>-0.16987858932356914</v>
      </c>
      <c r="L34" s="97">
        <f>L15+L24+L33</f>
        <v>117</v>
      </c>
      <c r="M34" s="118">
        <f>M15+M24+M33</f>
        <v>51890</v>
      </c>
      <c r="N34" s="121">
        <f t="shared" si="1"/>
        <v>-0.59259259259259256</v>
      </c>
      <c r="O34" s="125">
        <f t="shared" si="1"/>
        <v>-0.55237451938065052</v>
      </c>
      <c r="P34" s="97">
        <f>P33+P24+P15</f>
        <v>216</v>
      </c>
      <c r="Q34" s="118">
        <f>Q33+Q24+Q15</f>
        <v>96230</v>
      </c>
      <c r="R34" s="185"/>
    </row>
    <row r="35" spans="1:18">
      <c r="A35" s="273" t="s">
        <v>46</v>
      </c>
      <c r="B35" s="276" t="s">
        <v>29</v>
      </c>
      <c r="C35" s="278" t="s">
        <v>30</v>
      </c>
      <c r="D35" s="193" t="s">
        <v>19</v>
      </c>
      <c r="E35" s="104">
        <v>990</v>
      </c>
      <c r="F35" s="98">
        <v>1</v>
      </c>
      <c r="G35" s="154">
        <f>F35*E35</f>
        <v>990</v>
      </c>
      <c r="H35" s="17">
        <v>17</v>
      </c>
      <c r="I35" s="18">
        <f>H35*E35</f>
        <v>16830</v>
      </c>
      <c r="J35" s="205">
        <f t="shared" si="0"/>
        <v>3.25</v>
      </c>
      <c r="K35" s="206">
        <f t="shared" si="0"/>
        <v>2.5062500000000001</v>
      </c>
      <c r="L35" s="98">
        <v>4</v>
      </c>
      <c r="M35" s="114">
        <v>4800</v>
      </c>
      <c r="N35" s="19">
        <f t="shared" si="1"/>
        <v>0.7</v>
      </c>
      <c r="O35" s="87">
        <f t="shared" si="1"/>
        <v>0.16874999999999996</v>
      </c>
      <c r="P35" s="98">
        <v>10</v>
      </c>
      <c r="Q35" s="114">
        <v>14400</v>
      </c>
      <c r="R35" s="186"/>
    </row>
    <row r="36" spans="1:18">
      <c r="A36" s="274"/>
      <c r="B36" s="277"/>
      <c r="C36" s="279"/>
      <c r="D36" s="280" t="s">
        <v>16</v>
      </c>
      <c r="E36" s="281"/>
      <c r="F36" s="99">
        <f>F35</f>
        <v>1</v>
      </c>
      <c r="G36" s="155">
        <f>G35</f>
        <v>990</v>
      </c>
      <c r="H36" s="170">
        <f>H35</f>
        <v>17</v>
      </c>
      <c r="I36" s="171">
        <f>I35</f>
        <v>16830</v>
      </c>
      <c r="J36" s="209">
        <f t="shared" si="0"/>
        <v>3.25</v>
      </c>
      <c r="K36" s="210">
        <f t="shared" si="0"/>
        <v>2.5062500000000001</v>
      </c>
      <c r="L36" s="99">
        <f>L35</f>
        <v>4</v>
      </c>
      <c r="M36" s="115">
        <f>M35</f>
        <v>4800</v>
      </c>
      <c r="N36" s="78">
        <f t="shared" si="1"/>
        <v>0.7</v>
      </c>
      <c r="O36" s="89">
        <f t="shared" si="1"/>
        <v>0.16874999999999996</v>
      </c>
      <c r="P36" s="99">
        <f>SUM(P35)</f>
        <v>10</v>
      </c>
      <c r="Q36" s="115">
        <f>SUM(Q35)</f>
        <v>14400</v>
      </c>
      <c r="R36" s="186"/>
    </row>
    <row r="37" spans="1:18" ht="16.5" hidden="1" customHeight="1">
      <c r="A37" s="274"/>
      <c r="B37" s="278" t="s">
        <v>31</v>
      </c>
      <c r="C37" s="273" t="s">
        <v>32</v>
      </c>
      <c r="D37" s="217" t="s">
        <v>33</v>
      </c>
      <c r="E37" s="106">
        <v>50</v>
      </c>
      <c r="F37" s="100"/>
      <c r="G37" s="156"/>
      <c r="H37" s="21"/>
      <c r="I37" s="28"/>
      <c r="J37" s="197" t="str">
        <f t="shared" si="0"/>
        <v>-</v>
      </c>
      <c r="K37" s="198" t="str">
        <f t="shared" si="0"/>
        <v>-</v>
      </c>
      <c r="L37" s="100"/>
      <c r="M37" s="116"/>
      <c r="N37" s="9">
        <f t="shared" si="1"/>
        <v>-1</v>
      </c>
      <c r="O37" s="90">
        <f t="shared" si="1"/>
        <v>-1</v>
      </c>
      <c r="P37" s="100">
        <v>6</v>
      </c>
      <c r="Q37" s="116">
        <v>300</v>
      </c>
      <c r="R37" s="186"/>
    </row>
    <row r="38" spans="1:18" ht="16.5" hidden="1" customHeight="1">
      <c r="A38" s="274"/>
      <c r="B38" s="282"/>
      <c r="C38" s="274"/>
      <c r="D38" s="218" t="s">
        <v>34</v>
      </c>
      <c r="E38" s="107">
        <v>100</v>
      </c>
      <c r="F38" s="101"/>
      <c r="G38" s="157"/>
      <c r="H38" s="20"/>
      <c r="I38" s="172"/>
      <c r="J38" s="195" t="str">
        <f t="shared" si="0"/>
        <v>-</v>
      </c>
      <c r="K38" s="196" t="str">
        <f t="shared" si="0"/>
        <v>-</v>
      </c>
      <c r="L38" s="101"/>
      <c r="M38" s="117"/>
      <c r="N38" s="77">
        <f t="shared" si="1"/>
        <v>-1</v>
      </c>
      <c r="O38" s="88">
        <f t="shared" si="1"/>
        <v>-1</v>
      </c>
      <c r="P38" s="101">
        <v>3</v>
      </c>
      <c r="Q38" s="117">
        <v>300</v>
      </c>
      <c r="R38" s="186"/>
    </row>
    <row r="39" spans="1:18" ht="16.5" hidden="1" customHeight="1">
      <c r="A39" s="274"/>
      <c r="B39" s="282"/>
      <c r="C39" s="274"/>
      <c r="D39" s="218" t="s">
        <v>18</v>
      </c>
      <c r="E39" s="107">
        <v>150</v>
      </c>
      <c r="F39" s="101"/>
      <c r="G39" s="157"/>
      <c r="H39" s="20"/>
      <c r="I39" s="172"/>
      <c r="J39" s="195" t="str">
        <f t="shared" si="0"/>
        <v>-</v>
      </c>
      <c r="K39" s="196" t="str">
        <f t="shared" si="0"/>
        <v>-</v>
      </c>
      <c r="L39" s="101"/>
      <c r="M39" s="117"/>
      <c r="N39" s="77">
        <f t="shared" ref="N39:O70" si="2">IFERROR(H39/P39-1,"-")</f>
        <v>-1</v>
      </c>
      <c r="O39" s="88">
        <f t="shared" si="2"/>
        <v>-1</v>
      </c>
      <c r="P39" s="101">
        <v>1</v>
      </c>
      <c r="Q39" s="117">
        <v>150</v>
      </c>
      <c r="R39" s="186"/>
    </row>
    <row r="40" spans="1:18" ht="16.5" hidden="1" customHeight="1">
      <c r="A40" s="274"/>
      <c r="B40" s="282"/>
      <c r="C40" s="274"/>
      <c r="D40" s="218" t="s">
        <v>19</v>
      </c>
      <c r="E40" s="107">
        <v>200</v>
      </c>
      <c r="F40" s="101"/>
      <c r="G40" s="157"/>
      <c r="H40" s="20"/>
      <c r="I40" s="172"/>
      <c r="J40" s="195" t="str">
        <f t="shared" si="0"/>
        <v>-</v>
      </c>
      <c r="K40" s="196" t="str">
        <f t="shared" si="0"/>
        <v>-</v>
      </c>
      <c r="L40" s="101"/>
      <c r="M40" s="117"/>
      <c r="N40" s="77">
        <f t="shared" si="2"/>
        <v>-1</v>
      </c>
      <c r="O40" s="88">
        <f t="shared" si="2"/>
        <v>-1</v>
      </c>
      <c r="P40" s="101">
        <v>1</v>
      </c>
      <c r="Q40" s="117">
        <v>200</v>
      </c>
      <c r="R40" s="186"/>
    </row>
    <row r="41" spans="1:18" ht="16.5" hidden="1" customHeight="1">
      <c r="A41" s="274"/>
      <c r="B41" s="282"/>
      <c r="C41" s="274"/>
      <c r="D41" s="218" t="s">
        <v>38</v>
      </c>
      <c r="E41" s="107">
        <v>250</v>
      </c>
      <c r="F41" s="101"/>
      <c r="G41" s="157"/>
      <c r="H41" s="20"/>
      <c r="I41" s="172"/>
      <c r="J41" s="195" t="str">
        <f t="shared" si="0"/>
        <v>-</v>
      </c>
      <c r="K41" s="196" t="str">
        <f t="shared" si="0"/>
        <v>-</v>
      </c>
      <c r="L41" s="101"/>
      <c r="M41" s="117"/>
      <c r="N41" s="77" t="str">
        <f t="shared" si="2"/>
        <v>-</v>
      </c>
      <c r="O41" s="88" t="str">
        <f t="shared" si="2"/>
        <v>-</v>
      </c>
      <c r="P41" s="101">
        <v>0</v>
      </c>
      <c r="Q41" s="117">
        <v>0</v>
      </c>
      <c r="R41" s="186"/>
    </row>
    <row r="42" spans="1:18" ht="16.5" hidden="1" customHeight="1">
      <c r="A42" s="275"/>
      <c r="B42" s="283"/>
      <c r="C42" s="275"/>
      <c r="D42" s="216" t="s">
        <v>16</v>
      </c>
      <c r="E42" s="105">
        <v>0</v>
      </c>
      <c r="F42" s="99"/>
      <c r="G42" s="155"/>
      <c r="H42" s="170"/>
      <c r="I42" s="171"/>
      <c r="J42" s="209" t="str">
        <f t="shared" si="0"/>
        <v>-</v>
      </c>
      <c r="K42" s="210" t="str">
        <f t="shared" si="0"/>
        <v>-</v>
      </c>
      <c r="L42" s="99"/>
      <c r="M42" s="115"/>
      <c r="N42" s="78">
        <f t="shared" si="2"/>
        <v>-1</v>
      </c>
      <c r="O42" s="89">
        <f t="shared" si="2"/>
        <v>-1</v>
      </c>
      <c r="P42" s="99">
        <f>SUM(P37:P41)</f>
        <v>11</v>
      </c>
      <c r="Q42" s="115">
        <f>SUM(Q37:Q41)</f>
        <v>950</v>
      </c>
      <c r="R42" s="192"/>
    </row>
    <row r="43" spans="1:18">
      <c r="A43" s="264" t="s">
        <v>47</v>
      </c>
      <c r="B43" s="265"/>
      <c r="C43" s="265"/>
      <c r="D43" s="265"/>
      <c r="E43" s="266"/>
      <c r="F43" s="97">
        <f>F42+F36</f>
        <v>1</v>
      </c>
      <c r="G43" s="158">
        <f>G42+G36</f>
        <v>990</v>
      </c>
      <c r="H43" s="173">
        <f>H42+H36</f>
        <v>17</v>
      </c>
      <c r="I43" s="174">
        <f>I42+I36</f>
        <v>16830</v>
      </c>
      <c r="J43" s="207">
        <f t="shared" si="0"/>
        <v>3.25</v>
      </c>
      <c r="K43" s="208">
        <f t="shared" si="0"/>
        <v>2.5062500000000001</v>
      </c>
      <c r="L43" s="97">
        <f>L42+L36</f>
        <v>4</v>
      </c>
      <c r="M43" s="118">
        <f>M42+M36</f>
        <v>4800</v>
      </c>
      <c r="N43" s="121">
        <f t="shared" si="2"/>
        <v>-0.19047619047619047</v>
      </c>
      <c r="O43" s="125">
        <f t="shared" si="2"/>
        <v>9.641693811074914E-2</v>
      </c>
      <c r="P43" s="97">
        <f>P42+P36</f>
        <v>21</v>
      </c>
      <c r="Q43" s="118">
        <f>Q42+Q36</f>
        <v>15350</v>
      </c>
      <c r="R43" s="186"/>
    </row>
    <row r="44" spans="1:18" ht="16.5" hidden="1" customHeight="1">
      <c r="A44" s="267" t="s">
        <v>48</v>
      </c>
      <c r="B44" s="258" t="s">
        <v>11</v>
      </c>
      <c r="C44" s="261" t="s">
        <v>12</v>
      </c>
      <c r="D44" s="213" t="s">
        <v>13</v>
      </c>
      <c r="E44" s="68">
        <v>275</v>
      </c>
      <c r="F44" s="13">
        <v>0</v>
      </c>
      <c r="G44" s="14">
        <f>F44*E44</f>
        <v>0</v>
      </c>
      <c r="H44" s="15">
        <f>F44</f>
        <v>0</v>
      </c>
      <c r="I44" s="16">
        <f>H44*E44</f>
        <v>0</v>
      </c>
      <c r="J44" s="205" t="str">
        <f t="shared" si="0"/>
        <v>-</v>
      </c>
      <c r="K44" s="206" t="str">
        <f t="shared" si="0"/>
        <v>-</v>
      </c>
      <c r="L44" s="84"/>
      <c r="M44" s="81"/>
      <c r="N44" s="19">
        <f t="shared" si="2"/>
        <v>-1</v>
      </c>
      <c r="O44" s="87">
        <f t="shared" si="2"/>
        <v>-1</v>
      </c>
      <c r="P44" s="84">
        <v>3</v>
      </c>
      <c r="Q44" s="81">
        <v>650</v>
      </c>
      <c r="R44" s="187"/>
    </row>
    <row r="45" spans="1:18" ht="16.5" hidden="1" customHeight="1">
      <c r="A45" s="268"/>
      <c r="B45" s="259"/>
      <c r="C45" s="262"/>
      <c r="D45" s="214" t="s">
        <v>15</v>
      </c>
      <c r="E45" s="69">
        <v>180</v>
      </c>
      <c r="F45" s="12"/>
      <c r="G45" s="150"/>
      <c r="H45" s="10">
        <v>0</v>
      </c>
      <c r="I45" s="11">
        <f>H45*E45</f>
        <v>0</v>
      </c>
      <c r="J45" s="195" t="str">
        <f t="shared" si="0"/>
        <v>-</v>
      </c>
      <c r="K45" s="196" t="str">
        <f t="shared" si="0"/>
        <v>-</v>
      </c>
      <c r="L45" s="85"/>
      <c r="M45" s="82"/>
      <c r="N45" s="77" t="str">
        <f t="shared" si="2"/>
        <v>-</v>
      </c>
      <c r="O45" s="88" t="str">
        <f t="shared" si="2"/>
        <v>-</v>
      </c>
      <c r="P45" s="85">
        <v>0</v>
      </c>
      <c r="Q45" s="82">
        <v>0</v>
      </c>
      <c r="R45" s="187"/>
    </row>
    <row r="46" spans="1:18" ht="16.5" hidden="1" customHeight="1">
      <c r="A46" s="268"/>
      <c r="B46" s="259"/>
      <c r="C46" s="262"/>
      <c r="D46" s="214" t="s">
        <v>37</v>
      </c>
      <c r="E46" s="69">
        <v>420</v>
      </c>
      <c r="F46" s="12">
        <v>0</v>
      </c>
      <c r="G46" s="150">
        <f>F46*E46</f>
        <v>0</v>
      </c>
      <c r="H46" s="10">
        <v>0</v>
      </c>
      <c r="I46" s="11">
        <f>H46*E46</f>
        <v>0</v>
      </c>
      <c r="J46" s="195" t="str">
        <f t="shared" si="0"/>
        <v>-</v>
      </c>
      <c r="K46" s="196" t="str">
        <f t="shared" si="0"/>
        <v>-</v>
      </c>
      <c r="L46" s="85"/>
      <c r="M46" s="82"/>
      <c r="N46" s="77" t="str">
        <f t="shared" si="2"/>
        <v>-</v>
      </c>
      <c r="O46" s="88" t="str">
        <f t="shared" si="2"/>
        <v>-</v>
      </c>
      <c r="P46" s="85">
        <v>0</v>
      </c>
      <c r="Q46" s="82">
        <v>0</v>
      </c>
      <c r="R46" s="186"/>
    </row>
    <row r="47" spans="1:18" ht="16.5" hidden="1" customHeight="1">
      <c r="A47" s="268"/>
      <c r="B47" s="259"/>
      <c r="C47" s="263"/>
      <c r="D47" s="250" t="s">
        <v>16</v>
      </c>
      <c r="E47" s="251"/>
      <c r="F47" s="65">
        <f>SUM(F44:F46)</f>
        <v>0</v>
      </c>
      <c r="G47" s="151">
        <f>SUM(G44:G46)</f>
        <v>0</v>
      </c>
      <c r="H47" s="164">
        <f>SUM(H44:H46)</f>
        <v>0</v>
      </c>
      <c r="I47" s="165">
        <f>SUM(I44:I46)</f>
        <v>0</v>
      </c>
      <c r="J47" s="209" t="str">
        <f t="shared" si="0"/>
        <v>-</v>
      </c>
      <c r="K47" s="210" t="str">
        <f t="shared" si="0"/>
        <v>-</v>
      </c>
      <c r="L47" s="65">
        <f>SUM(L44:L46)</f>
        <v>0</v>
      </c>
      <c r="M47" s="74">
        <f>SUM(M44:M46)</f>
        <v>0</v>
      </c>
      <c r="N47" s="78">
        <f t="shared" si="2"/>
        <v>-1</v>
      </c>
      <c r="O47" s="89">
        <f t="shared" si="2"/>
        <v>-1</v>
      </c>
      <c r="P47" s="65">
        <f>SUM(P44:P46)</f>
        <v>3</v>
      </c>
      <c r="Q47" s="74">
        <f>SUM(Q44:Q46)</f>
        <v>650</v>
      </c>
      <c r="R47" s="186"/>
    </row>
    <row r="48" spans="1:18" ht="16.5" hidden="1" customHeight="1">
      <c r="A48" s="268"/>
      <c r="B48" s="259"/>
      <c r="C48" s="261" t="s">
        <v>17</v>
      </c>
      <c r="D48" s="215" t="s">
        <v>18</v>
      </c>
      <c r="E48" s="70">
        <v>550</v>
      </c>
      <c r="F48" s="5"/>
      <c r="G48" s="6">
        <f>F48*E48</f>
        <v>0</v>
      </c>
      <c r="H48" s="7"/>
      <c r="I48" s="8">
        <f>H48*E48</f>
        <v>0</v>
      </c>
      <c r="J48" s="197" t="str">
        <f t="shared" si="0"/>
        <v>-</v>
      </c>
      <c r="K48" s="198" t="str">
        <f t="shared" si="0"/>
        <v>-</v>
      </c>
      <c r="L48" s="86"/>
      <c r="M48" s="83"/>
      <c r="N48" s="9">
        <f t="shared" si="2"/>
        <v>-1</v>
      </c>
      <c r="O48" s="90">
        <f t="shared" si="2"/>
        <v>-1</v>
      </c>
      <c r="P48" s="86">
        <v>1</v>
      </c>
      <c r="Q48" s="83">
        <v>720</v>
      </c>
      <c r="R48" s="186"/>
    </row>
    <row r="49" spans="1:18" ht="16.5" hidden="1" customHeight="1">
      <c r="A49" s="268"/>
      <c r="B49" s="259"/>
      <c r="C49" s="262"/>
      <c r="D49" s="214" t="s">
        <v>19</v>
      </c>
      <c r="E49" s="69">
        <v>675</v>
      </c>
      <c r="F49" s="12"/>
      <c r="G49" s="150"/>
      <c r="H49" s="10">
        <v>0</v>
      </c>
      <c r="I49" s="11">
        <f>H49*E49</f>
        <v>0</v>
      </c>
      <c r="J49" s="195" t="str">
        <f t="shared" si="0"/>
        <v>-</v>
      </c>
      <c r="K49" s="196" t="str">
        <f t="shared" si="0"/>
        <v>-</v>
      </c>
      <c r="L49" s="85"/>
      <c r="M49" s="82"/>
      <c r="N49" s="77">
        <f t="shared" si="2"/>
        <v>-1</v>
      </c>
      <c r="O49" s="88">
        <f t="shared" si="2"/>
        <v>-1</v>
      </c>
      <c r="P49" s="85">
        <v>1</v>
      </c>
      <c r="Q49" s="82">
        <v>880</v>
      </c>
      <c r="R49" s="186"/>
    </row>
    <row r="50" spans="1:18" ht="16.5" hidden="1" customHeight="1">
      <c r="A50" s="268"/>
      <c r="B50" s="259"/>
      <c r="C50" s="262"/>
      <c r="D50" s="214" t="s">
        <v>38</v>
      </c>
      <c r="E50" s="69">
        <v>810</v>
      </c>
      <c r="F50" s="12">
        <v>0</v>
      </c>
      <c r="G50" s="150">
        <f>F50*E50</f>
        <v>0</v>
      </c>
      <c r="H50" s="10">
        <v>0</v>
      </c>
      <c r="I50" s="11">
        <f>H50*E50</f>
        <v>0</v>
      </c>
      <c r="J50" s="195" t="str">
        <f t="shared" si="0"/>
        <v>-</v>
      </c>
      <c r="K50" s="196" t="str">
        <f t="shared" si="0"/>
        <v>-</v>
      </c>
      <c r="L50" s="85"/>
      <c r="M50" s="82"/>
      <c r="N50" s="77" t="str">
        <f t="shared" si="2"/>
        <v>-</v>
      </c>
      <c r="O50" s="88" t="str">
        <f t="shared" si="2"/>
        <v>-</v>
      </c>
      <c r="P50" s="85">
        <v>0</v>
      </c>
      <c r="Q50" s="82">
        <v>0</v>
      </c>
      <c r="R50" s="186"/>
    </row>
    <row r="51" spans="1:18" ht="16.5" hidden="1" customHeight="1">
      <c r="A51" s="268"/>
      <c r="B51" s="259"/>
      <c r="C51" s="263"/>
      <c r="D51" s="250" t="s">
        <v>16</v>
      </c>
      <c r="E51" s="251"/>
      <c r="F51" s="65">
        <f>SUM(F48:F50)</f>
        <v>0</v>
      </c>
      <c r="G51" s="151">
        <f>SUM(G48:G50)</f>
        <v>0</v>
      </c>
      <c r="H51" s="164">
        <f>SUM(H48:H50)</f>
        <v>0</v>
      </c>
      <c r="I51" s="165">
        <f>SUM(I48:I50)</f>
        <v>0</v>
      </c>
      <c r="J51" s="209" t="str">
        <f t="shared" si="0"/>
        <v>-</v>
      </c>
      <c r="K51" s="210" t="str">
        <f t="shared" si="0"/>
        <v>-</v>
      </c>
      <c r="L51" s="65">
        <f>SUM(L48:L50)</f>
        <v>0</v>
      </c>
      <c r="M51" s="74">
        <f>SUM(M48:M50)</f>
        <v>0</v>
      </c>
      <c r="N51" s="78">
        <f t="shared" si="2"/>
        <v>-1</v>
      </c>
      <c r="O51" s="89">
        <f t="shared" si="2"/>
        <v>-1</v>
      </c>
      <c r="P51" s="65">
        <f>SUM(P48:P50)</f>
        <v>2</v>
      </c>
      <c r="Q51" s="74">
        <f>SUM(Q48:Q50)</f>
        <v>1600</v>
      </c>
      <c r="R51" s="186"/>
    </row>
    <row r="52" spans="1:18" ht="16.5" hidden="1" customHeight="1">
      <c r="A52" s="268"/>
      <c r="B52" s="260"/>
      <c r="C52" s="270" t="s">
        <v>20</v>
      </c>
      <c r="D52" s="271"/>
      <c r="E52" s="272"/>
      <c r="F52" s="102">
        <f>SUM(F47,F51)</f>
        <v>0</v>
      </c>
      <c r="G52" s="159">
        <f>SUM(G47,G51)</f>
        <v>0</v>
      </c>
      <c r="H52" s="175">
        <f>H51+H47</f>
        <v>0</v>
      </c>
      <c r="I52" s="176">
        <f>I51+I47</f>
        <v>0</v>
      </c>
      <c r="J52" s="211" t="str">
        <f t="shared" si="0"/>
        <v>-</v>
      </c>
      <c r="K52" s="212" t="str">
        <f t="shared" si="0"/>
        <v>-</v>
      </c>
      <c r="L52" s="102">
        <f>L51+L47</f>
        <v>0</v>
      </c>
      <c r="M52" s="119">
        <f>M51+M47</f>
        <v>0</v>
      </c>
      <c r="N52" s="122">
        <f t="shared" si="2"/>
        <v>-1</v>
      </c>
      <c r="O52" s="126">
        <f t="shared" si="2"/>
        <v>-1</v>
      </c>
      <c r="P52" s="102">
        <f>P51+P47</f>
        <v>5</v>
      </c>
      <c r="Q52" s="119">
        <f>Q51+Q47</f>
        <v>2250</v>
      </c>
      <c r="R52" s="186"/>
    </row>
    <row r="53" spans="1:18" ht="16.5" hidden="1" customHeight="1">
      <c r="A53" s="268"/>
      <c r="B53" s="258" t="s">
        <v>21</v>
      </c>
      <c r="C53" s="252" t="s">
        <v>12</v>
      </c>
      <c r="D53" s="215" t="s">
        <v>13</v>
      </c>
      <c r="E53" s="70">
        <v>190</v>
      </c>
      <c r="F53" s="5">
        <v>0</v>
      </c>
      <c r="G53" s="6">
        <f>F53*E53</f>
        <v>0</v>
      </c>
      <c r="H53" s="7">
        <v>0</v>
      </c>
      <c r="I53" s="8">
        <f>H53*E53</f>
        <v>0</v>
      </c>
      <c r="J53" s="197" t="str">
        <f t="shared" si="0"/>
        <v>-</v>
      </c>
      <c r="K53" s="198" t="str">
        <f t="shared" si="0"/>
        <v>-</v>
      </c>
      <c r="L53" s="86"/>
      <c r="M53" s="83"/>
      <c r="N53" s="9" t="str">
        <f t="shared" si="2"/>
        <v>-</v>
      </c>
      <c r="O53" s="90" t="str">
        <f t="shared" si="2"/>
        <v>-</v>
      </c>
      <c r="P53" s="86">
        <v>0</v>
      </c>
      <c r="Q53" s="83">
        <v>0</v>
      </c>
      <c r="R53" s="188"/>
    </row>
    <row r="54" spans="1:18" ht="16.5" hidden="1" customHeight="1">
      <c r="A54" s="268"/>
      <c r="B54" s="259"/>
      <c r="C54" s="253"/>
      <c r="D54" s="214" t="s">
        <v>15</v>
      </c>
      <c r="E54" s="69">
        <v>120</v>
      </c>
      <c r="F54" s="12"/>
      <c r="G54" s="150"/>
      <c r="H54" s="10">
        <v>0</v>
      </c>
      <c r="I54" s="11">
        <f>H54*E54</f>
        <v>0</v>
      </c>
      <c r="J54" s="195" t="str">
        <f t="shared" si="0"/>
        <v>-</v>
      </c>
      <c r="K54" s="196" t="str">
        <f t="shared" si="0"/>
        <v>-</v>
      </c>
      <c r="L54" s="85"/>
      <c r="M54" s="82"/>
      <c r="N54" s="77" t="str">
        <f t="shared" si="2"/>
        <v>-</v>
      </c>
      <c r="O54" s="88" t="str">
        <f t="shared" si="2"/>
        <v>-</v>
      </c>
      <c r="P54" s="85">
        <v>0</v>
      </c>
      <c r="Q54" s="82">
        <v>0</v>
      </c>
      <c r="R54" s="188"/>
    </row>
    <row r="55" spans="1:18" ht="16.5" hidden="1" customHeight="1">
      <c r="A55" s="268"/>
      <c r="B55" s="259"/>
      <c r="C55" s="253"/>
      <c r="D55" s="214" t="s">
        <v>37</v>
      </c>
      <c r="E55" s="69">
        <v>300</v>
      </c>
      <c r="F55" s="12">
        <v>0</v>
      </c>
      <c r="G55" s="150">
        <f>F55*E55</f>
        <v>0</v>
      </c>
      <c r="H55" s="10">
        <v>0</v>
      </c>
      <c r="I55" s="11">
        <f>H55*E55</f>
        <v>0</v>
      </c>
      <c r="J55" s="195" t="str">
        <f t="shared" si="0"/>
        <v>-</v>
      </c>
      <c r="K55" s="196" t="str">
        <f t="shared" si="0"/>
        <v>-</v>
      </c>
      <c r="L55" s="85"/>
      <c r="M55" s="82"/>
      <c r="N55" s="77" t="str">
        <f t="shared" si="2"/>
        <v>-</v>
      </c>
      <c r="O55" s="88" t="str">
        <f t="shared" si="2"/>
        <v>-</v>
      </c>
      <c r="P55" s="85">
        <v>0</v>
      </c>
      <c r="Q55" s="82">
        <v>0</v>
      </c>
      <c r="R55" s="188"/>
    </row>
    <row r="56" spans="1:18" ht="16.5" hidden="1" customHeight="1">
      <c r="A56" s="268"/>
      <c r="B56" s="259"/>
      <c r="C56" s="254"/>
      <c r="D56" s="250" t="s">
        <v>16</v>
      </c>
      <c r="E56" s="251"/>
      <c r="F56" s="65">
        <f>SUM(F53:F55)</f>
        <v>0</v>
      </c>
      <c r="G56" s="151">
        <f>SUM(G53:G55)</f>
        <v>0</v>
      </c>
      <c r="H56" s="164">
        <f>SUM(H53:H55)</f>
        <v>0</v>
      </c>
      <c r="I56" s="165">
        <f>SUM(I53:I55)</f>
        <v>0</v>
      </c>
      <c r="J56" s="209" t="str">
        <f t="shared" si="0"/>
        <v>-</v>
      </c>
      <c r="K56" s="210" t="str">
        <f t="shared" si="0"/>
        <v>-</v>
      </c>
      <c r="L56" s="65">
        <f>SUM(L53:L55)</f>
        <v>0</v>
      </c>
      <c r="M56" s="74">
        <f>SUM(M53:M55)</f>
        <v>0</v>
      </c>
      <c r="N56" s="78" t="str">
        <f t="shared" si="2"/>
        <v>-</v>
      </c>
      <c r="O56" s="89" t="str">
        <f t="shared" si="2"/>
        <v>-</v>
      </c>
      <c r="P56" s="65">
        <f>SUM(P53:P55)</f>
        <v>0</v>
      </c>
      <c r="Q56" s="74">
        <f>SUM(Q53:Q55)</f>
        <v>0</v>
      </c>
      <c r="R56" s="188"/>
    </row>
    <row r="57" spans="1:18" ht="16.5" hidden="1" customHeight="1">
      <c r="A57" s="268"/>
      <c r="B57" s="259"/>
      <c r="C57" s="252" t="s">
        <v>17</v>
      </c>
      <c r="D57" s="215" t="s">
        <v>18</v>
      </c>
      <c r="E57" s="70">
        <v>440</v>
      </c>
      <c r="F57" s="5">
        <v>0</v>
      </c>
      <c r="G57" s="6">
        <f>F57*E57</f>
        <v>0</v>
      </c>
      <c r="H57" s="7">
        <v>0</v>
      </c>
      <c r="I57" s="8">
        <f>H57*E57</f>
        <v>0</v>
      </c>
      <c r="J57" s="197" t="str">
        <f t="shared" si="0"/>
        <v>-</v>
      </c>
      <c r="K57" s="198" t="str">
        <f t="shared" si="0"/>
        <v>-</v>
      </c>
      <c r="L57" s="86"/>
      <c r="M57" s="83"/>
      <c r="N57" s="9" t="str">
        <f t="shared" si="2"/>
        <v>-</v>
      </c>
      <c r="O57" s="90" t="str">
        <f t="shared" si="2"/>
        <v>-</v>
      </c>
      <c r="P57" s="86">
        <v>0</v>
      </c>
      <c r="Q57" s="83">
        <v>0</v>
      </c>
      <c r="R57" s="188"/>
    </row>
    <row r="58" spans="1:18" ht="16.5" hidden="1" customHeight="1">
      <c r="A58" s="268"/>
      <c r="B58" s="259"/>
      <c r="C58" s="253"/>
      <c r="D58" s="214" t="s">
        <v>19</v>
      </c>
      <c r="E58" s="69">
        <v>520</v>
      </c>
      <c r="F58" s="12">
        <v>0</v>
      </c>
      <c r="G58" s="150">
        <v>0</v>
      </c>
      <c r="H58" s="10">
        <v>0</v>
      </c>
      <c r="I58" s="11">
        <f>H58*E58</f>
        <v>0</v>
      </c>
      <c r="J58" s="195" t="str">
        <f t="shared" si="0"/>
        <v>-</v>
      </c>
      <c r="K58" s="196" t="str">
        <f t="shared" si="0"/>
        <v>-</v>
      </c>
      <c r="L58" s="85"/>
      <c r="M58" s="82"/>
      <c r="N58" s="77" t="str">
        <f t="shared" si="2"/>
        <v>-</v>
      </c>
      <c r="O58" s="88" t="str">
        <f t="shared" si="2"/>
        <v>-</v>
      </c>
      <c r="P58" s="85">
        <v>0</v>
      </c>
      <c r="Q58" s="82">
        <v>0</v>
      </c>
      <c r="R58" s="188"/>
    </row>
    <row r="59" spans="1:18" ht="16.5" hidden="1" customHeight="1">
      <c r="A59" s="268"/>
      <c r="B59" s="259"/>
      <c r="C59" s="253"/>
      <c r="D59" s="214" t="s">
        <v>38</v>
      </c>
      <c r="E59" s="69">
        <v>600</v>
      </c>
      <c r="F59" s="12">
        <v>0</v>
      </c>
      <c r="G59" s="150">
        <f>F59*E59</f>
        <v>0</v>
      </c>
      <c r="H59" s="10">
        <v>0</v>
      </c>
      <c r="I59" s="11">
        <f>H59*E59</f>
        <v>0</v>
      </c>
      <c r="J59" s="195" t="str">
        <f t="shared" si="0"/>
        <v>-</v>
      </c>
      <c r="K59" s="196" t="str">
        <f t="shared" si="0"/>
        <v>-</v>
      </c>
      <c r="L59" s="85"/>
      <c r="M59" s="82"/>
      <c r="N59" s="77" t="str">
        <f t="shared" si="2"/>
        <v>-</v>
      </c>
      <c r="O59" s="88" t="str">
        <f t="shared" si="2"/>
        <v>-</v>
      </c>
      <c r="P59" s="85">
        <v>0</v>
      </c>
      <c r="Q59" s="82">
        <v>0</v>
      </c>
      <c r="R59" s="188"/>
    </row>
    <row r="60" spans="1:18" ht="16.5" hidden="1" customHeight="1">
      <c r="A60" s="268"/>
      <c r="B60" s="259"/>
      <c r="C60" s="254"/>
      <c r="D60" s="250" t="s">
        <v>16</v>
      </c>
      <c r="E60" s="251"/>
      <c r="F60" s="65">
        <f>SUM(F57:F59)</f>
        <v>0</v>
      </c>
      <c r="G60" s="151">
        <f>SUM(G57:G59)</f>
        <v>0</v>
      </c>
      <c r="H60" s="164">
        <f>SUM(H57:H59)</f>
        <v>0</v>
      </c>
      <c r="I60" s="165">
        <f>SUM(I57:I59)</f>
        <v>0</v>
      </c>
      <c r="J60" s="209" t="str">
        <f t="shared" si="0"/>
        <v>-</v>
      </c>
      <c r="K60" s="210" t="str">
        <f t="shared" si="0"/>
        <v>-</v>
      </c>
      <c r="L60" s="65">
        <f>SUM(L57:L59)</f>
        <v>0</v>
      </c>
      <c r="M60" s="74">
        <f>SUM(M57:M59)</f>
        <v>0</v>
      </c>
      <c r="N60" s="78" t="str">
        <f t="shared" si="2"/>
        <v>-</v>
      </c>
      <c r="O60" s="89" t="str">
        <f t="shared" si="2"/>
        <v>-</v>
      </c>
      <c r="P60" s="65">
        <f>SUM(P57:P59)</f>
        <v>0</v>
      </c>
      <c r="Q60" s="74">
        <f>SUM(Q57:Q59)</f>
        <v>0</v>
      </c>
      <c r="R60" s="188"/>
    </row>
    <row r="61" spans="1:18" ht="16.5" hidden="1" customHeight="1">
      <c r="A61" s="268"/>
      <c r="B61" s="260"/>
      <c r="C61" s="255" t="s">
        <v>20</v>
      </c>
      <c r="D61" s="256"/>
      <c r="E61" s="257"/>
      <c r="F61" s="102">
        <f>SUM(F56,F60)</f>
        <v>0</v>
      </c>
      <c r="G61" s="159">
        <f>SUM(G56,G60)</f>
        <v>0</v>
      </c>
      <c r="H61" s="175">
        <f>H60+H56</f>
        <v>0</v>
      </c>
      <c r="I61" s="176">
        <f>I60+I56</f>
        <v>0</v>
      </c>
      <c r="J61" s="211" t="str">
        <f t="shared" si="0"/>
        <v>-</v>
      </c>
      <c r="K61" s="212" t="str">
        <f t="shared" si="0"/>
        <v>-</v>
      </c>
      <c r="L61" s="102">
        <f>L60+L56</f>
        <v>0</v>
      </c>
      <c r="M61" s="119">
        <f>M60+M56</f>
        <v>0</v>
      </c>
      <c r="N61" s="122" t="str">
        <f t="shared" si="2"/>
        <v>-</v>
      </c>
      <c r="O61" s="126" t="str">
        <f t="shared" si="2"/>
        <v>-</v>
      </c>
      <c r="P61" s="102">
        <f>SUM(P56,P60)</f>
        <v>0</v>
      </c>
      <c r="Q61" s="119">
        <f>SUM(Q56,Q60)</f>
        <v>0</v>
      </c>
      <c r="R61" s="188"/>
    </row>
    <row r="62" spans="1:18" ht="16.5" hidden="1" customHeight="1">
      <c r="A62" s="268"/>
      <c r="B62" s="258" t="s">
        <v>26</v>
      </c>
      <c r="C62" s="261" t="s">
        <v>12</v>
      </c>
      <c r="D62" s="215" t="s">
        <v>13</v>
      </c>
      <c r="E62" s="70">
        <v>190</v>
      </c>
      <c r="F62" s="5">
        <v>0</v>
      </c>
      <c r="G62" s="6">
        <f>F62*E62</f>
        <v>0</v>
      </c>
      <c r="H62" s="7">
        <v>0</v>
      </c>
      <c r="I62" s="8">
        <f>H62*E62</f>
        <v>0</v>
      </c>
      <c r="J62" s="197" t="str">
        <f t="shared" si="0"/>
        <v>-</v>
      </c>
      <c r="K62" s="198" t="str">
        <f t="shared" si="0"/>
        <v>-</v>
      </c>
      <c r="L62" s="86"/>
      <c r="M62" s="83"/>
      <c r="N62" s="9">
        <f t="shared" si="2"/>
        <v>-1</v>
      </c>
      <c r="O62" s="90">
        <f t="shared" si="2"/>
        <v>-1</v>
      </c>
      <c r="P62" s="86">
        <v>5</v>
      </c>
      <c r="Q62" s="83">
        <v>1020</v>
      </c>
      <c r="R62" s="188"/>
    </row>
    <row r="63" spans="1:18" ht="16.5" hidden="1" customHeight="1">
      <c r="A63" s="268"/>
      <c r="B63" s="259"/>
      <c r="C63" s="262"/>
      <c r="D63" s="214" t="s">
        <v>15</v>
      </c>
      <c r="E63" s="69">
        <v>120</v>
      </c>
      <c r="F63" s="12">
        <v>0</v>
      </c>
      <c r="G63" s="150">
        <v>0</v>
      </c>
      <c r="H63" s="10">
        <v>0</v>
      </c>
      <c r="I63" s="11">
        <f>H63*E63</f>
        <v>0</v>
      </c>
      <c r="J63" s="195" t="str">
        <f t="shared" si="0"/>
        <v>-</v>
      </c>
      <c r="K63" s="196" t="str">
        <f t="shared" si="0"/>
        <v>-</v>
      </c>
      <c r="L63" s="85"/>
      <c r="M63" s="82"/>
      <c r="N63" s="77" t="str">
        <f t="shared" si="2"/>
        <v>-</v>
      </c>
      <c r="O63" s="88" t="str">
        <f t="shared" si="2"/>
        <v>-</v>
      </c>
      <c r="P63" s="85">
        <v>0</v>
      </c>
      <c r="Q63" s="82">
        <v>0</v>
      </c>
      <c r="R63" s="188"/>
    </row>
    <row r="64" spans="1:18" ht="16.5" hidden="1" customHeight="1">
      <c r="A64" s="268"/>
      <c r="B64" s="259"/>
      <c r="C64" s="262"/>
      <c r="D64" s="214" t="s">
        <v>37</v>
      </c>
      <c r="E64" s="69">
        <v>300</v>
      </c>
      <c r="F64" s="12">
        <v>0</v>
      </c>
      <c r="G64" s="150">
        <f>F64*E64</f>
        <v>0</v>
      </c>
      <c r="H64" s="10">
        <v>0</v>
      </c>
      <c r="I64" s="11">
        <f>H64*E64</f>
        <v>0</v>
      </c>
      <c r="J64" s="195" t="str">
        <f t="shared" si="0"/>
        <v>-</v>
      </c>
      <c r="K64" s="196" t="str">
        <f t="shared" si="0"/>
        <v>-</v>
      </c>
      <c r="L64" s="85"/>
      <c r="M64" s="82"/>
      <c r="N64" s="77">
        <f t="shared" si="2"/>
        <v>-1</v>
      </c>
      <c r="O64" s="88">
        <f t="shared" si="2"/>
        <v>-1</v>
      </c>
      <c r="P64" s="85">
        <v>5</v>
      </c>
      <c r="Q64" s="82">
        <v>1800</v>
      </c>
      <c r="R64" s="188"/>
    </row>
    <row r="65" spans="1:18" ht="16.5" hidden="1" customHeight="1">
      <c r="A65" s="268"/>
      <c r="B65" s="259"/>
      <c r="C65" s="263"/>
      <c r="D65" s="250" t="s">
        <v>16</v>
      </c>
      <c r="E65" s="251"/>
      <c r="F65" s="65">
        <f>SUM(F62:F64)</f>
        <v>0</v>
      </c>
      <c r="G65" s="151">
        <f>SUM(G62:G64)</f>
        <v>0</v>
      </c>
      <c r="H65" s="164">
        <f>SUM(H62:H64)</f>
        <v>0</v>
      </c>
      <c r="I65" s="165">
        <f>SUM(I62:I64)</f>
        <v>0</v>
      </c>
      <c r="J65" s="209" t="str">
        <f t="shared" si="0"/>
        <v>-</v>
      </c>
      <c r="K65" s="210" t="str">
        <f t="shared" si="0"/>
        <v>-</v>
      </c>
      <c r="L65" s="65">
        <f>SUM(L62:L64)</f>
        <v>0</v>
      </c>
      <c r="M65" s="74">
        <f>SUM(M62:M64)</f>
        <v>0</v>
      </c>
      <c r="N65" s="78">
        <f t="shared" si="2"/>
        <v>-1</v>
      </c>
      <c r="O65" s="89">
        <f t="shared" si="2"/>
        <v>-1</v>
      </c>
      <c r="P65" s="65">
        <f>SUM(P62:P64)</f>
        <v>10</v>
      </c>
      <c r="Q65" s="74">
        <f>SUM(Q62:Q64)</f>
        <v>2820</v>
      </c>
      <c r="R65" s="188"/>
    </row>
    <row r="66" spans="1:18" ht="16.5" hidden="1" customHeight="1">
      <c r="A66" s="268"/>
      <c r="B66" s="259"/>
      <c r="C66" s="261" t="s">
        <v>17</v>
      </c>
      <c r="D66" s="215" t="s">
        <v>18</v>
      </c>
      <c r="E66" s="70">
        <v>440</v>
      </c>
      <c r="F66" s="5">
        <v>0</v>
      </c>
      <c r="G66" s="6">
        <f>F66*E66</f>
        <v>0</v>
      </c>
      <c r="H66" s="7">
        <v>0</v>
      </c>
      <c r="I66" s="8">
        <f>H66*E66</f>
        <v>0</v>
      </c>
      <c r="J66" s="197" t="str">
        <f t="shared" si="0"/>
        <v>-</v>
      </c>
      <c r="K66" s="198" t="str">
        <f t="shared" si="0"/>
        <v>-</v>
      </c>
      <c r="L66" s="86"/>
      <c r="M66" s="83"/>
      <c r="N66" s="9">
        <f t="shared" si="2"/>
        <v>-1</v>
      </c>
      <c r="O66" s="90">
        <f t="shared" si="2"/>
        <v>-1</v>
      </c>
      <c r="P66" s="86">
        <v>3</v>
      </c>
      <c r="Q66" s="83">
        <v>1770</v>
      </c>
      <c r="R66" s="188"/>
    </row>
    <row r="67" spans="1:18" ht="16.5" hidden="1" customHeight="1">
      <c r="A67" s="268"/>
      <c r="B67" s="259"/>
      <c r="C67" s="262"/>
      <c r="D67" s="214" t="s">
        <v>19</v>
      </c>
      <c r="E67" s="69">
        <v>520</v>
      </c>
      <c r="F67" s="12">
        <v>0</v>
      </c>
      <c r="G67" s="150">
        <v>0</v>
      </c>
      <c r="H67" s="10">
        <v>0</v>
      </c>
      <c r="I67" s="11">
        <f>H67*E67</f>
        <v>0</v>
      </c>
      <c r="J67" s="195" t="str">
        <f t="shared" si="0"/>
        <v>-</v>
      </c>
      <c r="K67" s="196" t="str">
        <f t="shared" si="0"/>
        <v>-</v>
      </c>
      <c r="L67" s="85"/>
      <c r="M67" s="82"/>
      <c r="N67" s="77">
        <f t="shared" si="2"/>
        <v>-1</v>
      </c>
      <c r="O67" s="88">
        <f t="shared" si="2"/>
        <v>-1</v>
      </c>
      <c r="P67" s="85">
        <v>3</v>
      </c>
      <c r="Q67" s="82">
        <v>2160</v>
      </c>
      <c r="R67" s="188"/>
    </row>
    <row r="68" spans="1:18" ht="16.5" hidden="1" customHeight="1">
      <c r="A68" s="268"/>
      <c r="B68" s="259"/>
      <c r="C68" s="262"/>
      <c r="D68" s="214" t="s">
        <v>38</v>
      </c>
      <c r="E68" s="69">
        <v>600</v>
      </c>
      <c r="F68" s="12">
        <v>0</v>
      </c>
      <c r="G68" s="150">
        <f>F68*E68</f>
        <v>0</v>
      </c>
      <c r="H68" s="10">
        <v>0</v>
      </c>
      <c r="I68" s="11">
        <f>H68*E68</f>
        <v>0</v>
      </c>
      <c r="J68" s="195" t="str">
        <f t="shared" si="0"/>
        <v>-</v>
      </c>
      <c r="K68" s="196" t="str">
        <f t="shared" si="0"/>
        <v>-</v>
      </c>
      <c r="L68" s="85"/>
      <c r="M68" s="82"/>
      <c r="N68" s="77" t="str">
        <f t="shared" si="2"/>
        <v>-</v>
      </c>
      <c r="O68" s="88" t="str">
        <f t="shared" si="2"/>
        <v>-</v>
      </c>
      <c r="P68" s="85">
        <v>0</v>
      </c>
      <c r="Q68" s="82">
        <v>0</v>
      </c>
      <c r="R68" s="188"/>
    </row>
    <row r="69" spans="1:18" ht="16.5" hidden="1" customHeight="1">
      <c r="A69" s="268"/>
      <c r="B69" s="259"/>
      <c r="C69" s="263"/>
      <c r="D69" s="250" t="s">
        <v>16</v>
      </c>
      <c r="E69" s="251"/>
      <c r="F69" s="65">
        <f>SUM(F66:F68)</f>
        <v>0</v>
      </c>
      <c r="G69" s="151">
        <f>SUM(G66:G68)</f>
        <v>0</v>
      </c>
      <c r="H69" s="164">
        <f>SUM(H66:H68)</f>
        <v>0</v>
      </c>
      <c r="I69" s="165">
        <f>SUM(I66:I68)</f>
        <v>0</v>
      </c>
      <c r="J69" s="209" t="str">
        <f t="shared" si="0"/>
        <v>-</v>
      </c>
      <c r="K69" s="210" t="str">
        <f t="shared" si="0"/>
        <v>-</v>
      </c>
      <c r="L69" s="65">
        <f>SUM(L66:L68)</f>
        <v>0</v>
      </c>
      <c r="M69" s="74">
        <f>SUM(M66:M68)</f>
        <v>0</v>
      </c>
      <c r="N69" s="78">
        <f t="shared" si="2"/>
        <v>-1</v>
      </c>
      <c r="O69" s="89">
        <f t="shared" si="2"/>
        <v>-1</v>
      </c>
      <c r="P69" s="65">
        <f>SUM(P66:P68)</f>
        <v>6</v>
      </c>
      <c r="Q69" s="74">
        <f>SUM(Q66:Q68)</f>
        <v>3930</v>
      </c>
      <c r="R69" s="188"/>
    </row>
    <row r="70" spans="1:18" ht="16.5" hidden="1" customHeight="1">
      <c r="A70" s="269"/>
      <c r="B70" s="260"/>
      <c r="C70" s="255" t="s">
        <v>20</v>
      </c>
      <c r="D70" s="256"/>
      <c r="E70" s="257"/>
      <c r="F70" s="102">
        <f>SUM(F65,F69)</f>
        <v>0</v>
      </c>
      <c r="G70" s="159">
        <f>SUM(G65,G69)</f>
        <v>0</v>
      </c>
      <c r="H70" s="175">
        <f>H69+H65</f>
        <v>0</v>
      </c>
      <c r="I70" s="176">
        <f>I69+I65</f>
        <v>0</v>
      </c>
      <c r="J70" s="211" t="str">
        <f t="shared" si="0"/>
        <v>-</v>
      </c>
      <c r="K70" s="212" t="str">
        <f t="shared" si="0"/>
        <v>-</v>
      </c>
      <c r="L70" s="102">
        <f>L69+L65</f>
        <v>0</v>
      </c>
      <c r="M70" s="119">
        <f>M69+M65</f>
        <v>0</v>
      </c>
      <c r="N70" s="122">
        <f t="shared" si="2"/>
        <v>-1</v>
      </c>
      <c r="O70" s="126">
        <f t="shared" si="2"/>
        <v>-1</v>
      </c>
      <c r="P70" s="102">
        <f>P69+P65</f>
        <v>16</v>
      </c>
      <c r="Q70" s="119">
        <f>Q69+Q65</f>
        <v>6750</v>
      </c>
      <c r="R70" s="188"/>
    </row>
    <row r="71" spans="1:18" ht="16.5" hidden="1" customHeight="1">
      <c r="A71" s="239" t="s">
        <v>49</v>
      </c>
      <c r="B71" s="240"/>
      <c r="C71" s="240"/>
      <c r="D71" s="240"/>
      <c r="E71" s="241"/>
      <c r="F71" s="97">
        <f>F70+F61+F52</f>
        <v>0</v>
      </c>
      <c r="G71" s="158">
        <f>G70+G61+G52</f>
        <v>0</v>
      </c>
      <c r="H71" s="173">
        <f>H70+H61+H52</f>
        <v>0</v>
      </c>
      <c r="I71" s="174">
        <f>I70+I61+I52</f>
        <v>0</v>
      </c>
      <c r="J71" s="207" t="str">
        <f t="shared" ref="J71:K83" si="3">IFERROR(H71/L71-1,"-")</f>
        <v>-</v>
      </c>
      <c r="K71" s="208" t="str">
        <f t="shared" si="3"/>
        <v>-</v>
      </c>
      <c r="L71" s="97">
        <f>L70+L61+L52</f>
        <v>0</v>
      </c>
      <c r="M71" s="118">
        <f>M70+M61+M52</f>
        <v>0</v>
      </c>
      <c r="N71" s="121">
        <f t="shared" ref="N71:O83" si="4">IFERROR(H71/P71-1,"-")</f>
        <v>-1</v>
      </c>
      <c r="O71" s="125">
        <f t="shared" si="4"/>
        <v>-1</v>
      </c>
      <c r="P71" s="97">
        <f>P70+P61+P52</f>
        <v>21</v>
      </c>
      <c r="Q71" s="118">
        <f>Q70+Q61+Q52</f>
        <v>9000</v>
      </c>
      <c r="R71" s="188"/>
    </row>
    <row r="72" spans="1:18" ht="16.5" customHeight="1">
      <c r="A72" s="242" t="s">
        <v>51</v>
      </c>
      <c r="B72" s="242" t="s">
        <v>50</v>
      </c>
      <c r="C72" s="245" t="s">
        <v>12</v>
      </c>
      <c r="D72" s="219" t="s">
        <v>52</v>
      </c>
      <c r="E72" s="109">
        <v>190</v>
      </c>
      <c r="F72" s="98">
        <v>0</v>
      </c>
      <c r="G72" s="154">
        <f>F72*E72</f>
        <v>0</v>
      </c>
      <c r="H72" s="17">
        <v>1</v>
      </c>
      <c r="I72" s="18">
        <f>H72*E72</f>
        <v>190</v>
      </c>
      <c r="J72" s="197" t="str">
        <f t="shared" si="3"/>
        <v>-</v>
      </c>
      <c r="K72" s="198" t="str">
        <f t="shared" si="3"/>
        <v>-</v>
      </c>
      <c r="L72" s="98"/>
      <c r="M72" s="114"/>
      <c r="N72" s="19">
        <f t="shared" si="4"/>
        <v>-0.93333333333333335</v>
      </c>
      <c r="O72" s="87">
        <f t="shared" si="4"/>
        <v>-0.92692307692307696</v>
      </c>
      <c r="P72" s="98">
        <v>15</v>
      </c>
      <c r="Q72" s="114">
        <f>1690+910</f>
        <v>2600</v>
      </c>
      <c r="R72" s="231"/>
    </row>
    <row r="73" spans="1:18" ht="16.5" customHeight="1">
      <c r="A73" s="243"/>
      <c r="B73" s="243"/>
      <c r="C73" s="246"/>
      <c r="D73" s="220" t="s">
        <v>53</v>
      </c>
      <c r="E73" s="110">
        <v>120</v>
      </c>
      <c r="F73" s="101">
        <v>0</v>
      </c>
      <c r="G73" s="157">
        <f>F73*E73</f>
        <v>0</v>
      </c>
      <c r="H73" s="20">
        <v>0</v>
      </c>
      <c r="I73" s="172">
        <f>H73*E73</f>
        <v>0</v>
      </c>
      <c r="J73" s="195" t="str">
        <f t="shared" si="3"/>
        <v>-</v>
      </c>
      <c r="K73" s="196" t="str">
        <f t="shared" si="3"/>
        <v>-</v>
      </c>
      <c r="L73" s="101"/>
      <c r="M73" s="117"/>
      <c r="N73" s="77" t="str">
        <f t="shared" si="4"/>
        <v>-</v>
      </c>
      <c r="O73" s="88" t="str">
        <f t="shared" si="4"/>
        <v>-</v>
      </c>
      <c r="P73" s="101">
        <v>0</v>
      </c>
      <c r="Q73" s="117">
        <v>0</v>
      </c>
      <c r="R73" s="189"/>
    </row>
    <row r="74" spans="1:18" ht="16.5" customHeight="1">
      <c r="A74" s="243"/>
      <c r="B74" s="243"/>
      <c r="C74" s="246"/>
      <c r="D74" s="220" t="s">
        <v>37</v>
      </c>
      <c r="E74" s="110">
        <v>300</v>
      </c>
      <c r="F74" s="101">
        <v>0</v>
      </c>
      <c r="G74" s="157">
        <f>F74*E74</f>
        <v>0</v>
      </c>
      <c r="H74" s="20">
        <v>3</v>
      </c>
      <c r="I74" s="172">
        <f>H74*E74</f>
        <v>900</v>
      </c>
      <c r="J74" s="195" t="str">
        <f t="shared" si="3"/>
        <v>-</v>
      </c>
      <c r="K74" s="196" t="str">
        <f t="shared" si="3"/>
        <v>-</v>
      </c>
      <c r="L74" s="101"/>
      <c r="M74" s="117"/>
      <c r="N74" s="77">
        <f t="shared" si="4"/>
        <v>2</v>
      </c>
      <c r="O74" s="88">
        <f t="shared" si="4"/>
        <v>1.903225806451613</v>
      </c>
      <c r="P74" s="101">
        <v>1</v>
      </c>
      <c r="Q74" s="117">
        <v>310</v>
      </c>
      <c r="R74" s="189"/>
    </row>
    <row r="75" spans="1:18" ht="16.5" customHeight="1">
      <c r="A75" s="243"/>
      <c r="B75" s="243"/>
      <c r="C75" s="247"/>
      <c r="D75" s="248" t="s">
        <v>16</v>
      </c>
      <c r="E75" s="249"/>
      <c r="F75" s="99">
        <f>SUM(F72:F74)</f>
        <v>0</v>
      </c>
      <c r="G75" s="155">
        <f>SUM(G72:G74)</f>
        <v>0</v>
      </c>
      <c r="H75" s="170">
        <f>SUM(H72:H74)</f>
        <v>4</v>
      </c>
      <c r="I75" s="171">
        <f>SUM(I72:I74)</f>
        <v>1090</v>
      </c>
      <c r="J75" s="209" t="str">
        <f t="shared" si="3"/>
        <v>-</v>
      </c>
      <c r="K75" s="210" t="str">
        <f t="shared" si="3"/>
        <v>-</v>
      </c>
      <c r="L75" s="99">
        <f>SUM(L72:L74)</f>
        <v>0</v>
      </c>
      <c r="M75" s="115">
        <f>SUM(M72:M74)</f>
        <v>0</v>
      </c>
      <c r="N75" s="78">
        <f t="shared" si="4"/>
        <v>-0.75</v>
      </c>
      <c r="O75" s="89">
        <f t="shared" si="4"/>
        <v>-0.62542955326460481</v>
      </c>
      <c r="P75" s="99">
        <f>SUM(P72:P74)</f>
        <v>16</v>
      </c>
      <c r="Q75" s="115">
        <f>SUM(Q72:Q74)</f>
        <v>2910</v>
      </c>
      <c r="R75" s="189"/>
    </row>
    <row r="76" spans="1:18" ht="16.5" customHeight="1">
      <c r="A76" s="243"/>
      <c r="B76" s="243"/>
      <c r="C76" s="245" t="s">
        <v>17</v>
      </c>
      <c r="D76" s="221" t="s">
        <v>18</v>
      </c>
      <c r="E76" s="111">
        <v>440</v>
      </c>
      <c r="F76" s="98">
        <v>0</v>
      </c>
      <c r="G76" s="154">
        <f>F76*E76</f>
        <v>0</v>
      </c>
      <c r="H76" s="17">
        <v>20</v>
      </c>
      <c r="I76" s="18">
        <f>H76*E76</f>
        <v>8800</v>
      </c>
      <c r="J76" s="197" t="str">
        <f t="shared" si="3"/>
        <v>-</v>
      </c>
      <c r="K76" s="198" t="str">
        <f t="shared" si="3"/>
        <v>-</v>
      </c>
      <c r="L76" s="100"/>
      <c r="M76" s="116"/>
      <c r="N76" s="9">
        <f t="shared" si="4"/>
        <v>-0.57446808510638303</v>
      </c>
      <c r="O76" s="90">
        <f t="shared" si="4"/>
        <v>-0.58451369216241744</v>
      </c>
      <c r="P76" s="100">
        <f>33+4+1+9</f>
        <v>47</v>
      </c>
      <c r="Q76" s="116">
        <f>14520+1760+490+4410</f>
        <v>21180</v>
      </c>
      <c r="R76" s="189"/>
    </row>
    <row r="77" spans="1:18" ht="16.5" customHeight="1">
      <c r="A77" s="243"/>
      <c r="B77" s="243"/>
      <c r="C77" s="246"/>
      <c r="D77" s="220" t="s">
        <v>19</v>
      </c>
      <c r="E77" s="110">
        <v>520</v>
      </c>
      <c r="F77" s="101">
        <v>1</v>
      </c>
      <c r="G77" s="157">
        <f>F77*E77</f>
        <v>520</v>
      </c>
      <c r="H77" s="20">
        <v>31</v>
      </c>
      <c r="I77" s="172">
        <f>H77*E77</f>
        <v>16120</v>
      </c>
      <c r="J77" s="195" t="str">
        <f t="shared" si="3"/>
        <v>-</v>
      </c>
      <c r="K77" s="196" t="str">
        <f t="shared" si="3"/>
        <v>-</v>
      </c>
      <c r="L77" s="101"/>
      <c r="M77" s="117"/>
      <c r="N77" s="77">
        <f t="shared" si="4"/>
        <v>-0.22499999999999998</v>
      </c>
      <c r="O77" s="88">
        <f t="shared" si="4"/>
        <v>-0.23601895734597156</v>
      </c>
      <c r="P77" s="101">
        <f>34+6</f>
        <v>40</v>
      </c>
      <c r="Q77" s="117">
        <f>17680+3420</f>
        <v>21100</v>
      </c>
      <c r="R77" s="189"/>
    </row>
    <row r="78" spans="1:18" ht="16.5" customHeight="1">
      <c r="A78" s="243"/>
      <c r="B78" s="243"/>
      <c r="C78" s="246"/>
      <c r="D78" s="220" t="s">
        <v>38</v>
      </c>
      <c r="E78" s="110">
        <v>600</v>
      </c>
      <c r="F78" s="101">
        <v>0</v>
      </c>
      <c r="G78" s="157">
        <f>F78*E78</f>
        <v>0</v>
      </c>
      <c r="H78" s="20">
        <v>4</v>
      </c>
      <c r="I78" s="172">
        <f>H78*E78</f>
        <v>2400</v>
      </c>
      <c r="J78" s="195" t="str">
        <f t="shared" si="3"/>
        <v>-</v>
      </c>
      <c r="K78" s="196" t="str">
        <f t="shared" si="3"/>
        <v>-</v>
      </c>
      <c r="L78" s="101"/>
      <c r="M78" s="117"/>
      <c r="N78" s="77" t="str">
        <f t="shared" si="4"/>
        <v>-</v>
      </c>
      <c r="O78" s="88" t="str">
        <f t="shared" si="4"/>
        <v>-</v>
      </c>
      <c r="P78" s="101">
        <v>0</v>
      </c>
      <c r="Q78" s="117">
        <v>0</v>
      </c>
      <c r="R78" s="189"/>
    </row>
    <row r="79" spans="1:18" ht="16.5" customHeight="1">
      <c r="A79" s="243"/>
      <c r="B79" s="243"/>
      <c r="C79" s="247"/>
      <c r="D79" s="248" t="s">
        <v>16</v>
      </c>
      <c r="E79" s="249"/>
      <c r="F79" s="99">
        <f>SUM(F76:F78)</f>
        <v>1</v>
      </c>
      <c r="G79" s="155">
        <f>SUM(G76:G78)</f>
        <v>520</v>
      </c>
      <c r="H79" s="170">
        <f>SUM(H76:H78)</f>
        <v>55</v>
      </c>
      <c r="I79" s="171">
        <f>SUM(I76:I78)</f>
        <v>27320</v>
      </c>
      <c r="J79" s="209">
        <f t="shared" si="3"/>
        <v>0.22222222222222232</v>
      </c>
      <c r="K79" s="210">
        <f t="shared" si="3"/>
        <v>0.37011033099297896</v>
      </c>
      <c r="L79" s="99">
        <v>45</v>
      </c>
      <c r="M79" s="115">
        <v>19940</v>
      </c>
      <c r="N79" s="78">
        <f t="shared" si="4"/>
        <v>-0.36781609195402298</v>
      </c>
      <c r="O79" s="89">
        <f t="shared" si="4"/>
        <v>-0.35383159886471149</v>
      </c>
      <c r="P79" s="99">
        <f>SUM(P76:P78)</f>
        <v>87</v>
      </c>
      <c r="Q79" s="115">
        <f>SUM(Q76:Q78)</f>
        <v>42280</v>
      </c>
      <c r="R79" s="189"/>
    </row>
    <row r="80" spans="1:18" ht="16.5" hidden="1" customHeight="1">
      <c r="A80" s="243"/>
      <c r="B80" s="243"/>
      <c r="C80" s="245" t="s">
        <v>54</v>
      </c>
      <c r="D80" s="221" t="s">
        <v>19</v>
      </c>
      <c r="E80" s="111">
        <v>990</v>
      </c>
      <c r="F80" s="100"/>
      <c r="G80" s="156"/>
      <c r="H80" s="21"/>
      <c r="I80" s="28"/>
      <c r="J80" s="197" t="str">
        <f t="shared" si="3"/>
        <v>-</v>
      </c>
      <c r="K80" s="198" t="str">
        <f t="shared" si="3"/>
        <v>-</v>
      </c>
      <c r="L80" s="100"/>
      <c r="M80" s="116"/>
      <c r="N80" s="9" t="str">
        <f t="shared" si="4"/>
        <v>-</v>
      </c>
      <c r="O80" s="90" t="str">
        <f t="shared" si="4"/>
        <v>-</v>
      </c>
      <c r="P80" s="100">
        <v>0</v>
      </c>
      <c r="Q80" s="116">
        <v>0</v>
      </c>
      <c r="R80" s="189"/>
    </row>
    <row r="81" spans="1:18" ht="16.5" hidden="1" customHeight="1">
      <c r="A81" s="244"/>
      <c r="B81" s="244"/>
      <c r="C81" s="247"/>
      <c r="D81" s="248" t="s">
        <v>16</v>
      </c>
      <c r="E81" s="249"/>
      <c r="F81" s="99">
        <f>SUM(F80)</f>
        <v>0</v>
      </c>
      <c r="G81" s="155">
        <f>SUM(G80)</f>
        <v>0</v>
      </c>
      <c r="H81" s="170">
        <f>SUM(H80)</f>
        <v>0</v>
      </c>
      <c r="I81" s="171">
        <f>SUM(I80)</f>
        <v>0</v>
      </c>
      <c r="J81" s="209" t="str">
        <f t="shared" si="3"/>
        <v>-</v>
      </c>
      <c r="K81" s="210" t="str">
        <f t="shared" si="3"/>
        <v>-</v>
      </c>
      <c r="L81" s="99">
        <f>SUM(L80)</f>
        <v>0</v>
      </c>
      <c r="M81" s="115">
        <f>SUM(M80)</f>
        <v>0</v>
      </c>
      <c r="N81" s="78" t="str">
        <f t="shared" si="4"/>
        <v>-</v>
      </c>
      <c r="O81" s="89" t="str">
        <f t="shared" si="4"/>
        <v>-</v>
      </c>
      <c r="P81" s="99">
        <f>SUM(P80)</f>
        <v>0</v>
      </c>
      <c r="Q81" s="115">
        <f>SUM(Q80)</f>
        <v>0</v>
      </c>
      <c r="R81" s="189"/>
    </row>
    <row r="82" spans="1:18" ht="16.5" customHeight="1">
      <c r="A82" s="233" t="s">
        <v>58</v>
      </c>
      <c r="B82" s="234"/>
      <c r="C82" s="234"/>
      <c r="D82" s="234"/>
      <c r="E82" s="235"/>
      <c r="F82" s="103">
        <f>F81+F79+F75</f>
        <v>1</v>
      </c>
      <c r="G82" s="160">
        <f>G81+G79+G75</f>
        <v>520</v>
      </c>
      <c r="H82" s="177">
        <f>H81+H79+H75</f>
        <v>59</v>
      </c>
      <c r="I82" s="178">
        <f>I81+I79+I75</f>
        <v>28410</v>
      </c>
      <c r="J82" s="207">
        <f t="shared" si="3"/>
        <v>0.31111111111111112</v>
      </c>
      <c r="K82" s="208">
        <f t="shared" si="3"/>
        <v>0.42477432296890671</v>
      </c>
      <c r="L82" s="103">
        <f>L81+L79+L75</f>
        <v>45</v>
      </c>
      <c r="M82" s="120">
        <f>M81+M79+M75</f>
        <v>19940</v>
      </c>
      <c r="N82" s="121">
        <f t="shared" si="4"/>
        <v>-0.42718446601941751</v>
      </c>
      <c r="O82" s="125">
        <f t="shared" si="4"/>
        <v>-0.37132108873644609</v>
      </c>
      <c r="P82" s="103">
        <f>P81+P79+P75</f>
        <v>103</v>
      </c>
      <c r="Q82" s="120">
        <f>Q81+Q79+Q75</f>
        <v>45190</v>
      </c>
      <c r="R82" s="188"/>
    </row>
    <row r="83" spans="1:18" ht="17.25" thickBot="1">
      <c r="A83" s="236" t="s">
        <v>55</v>
      </c>
      <c r="B83" s="237"/>
      <c r="C83" s="237"/>
      <c r="D83" s="237"/>
      <c r="E83" s="238"/>
      <c r="F83" s="199">
        <f>F82+F71+F43+F34</f>
        <v>6</v>
      </c>
      <c r="G83" s="225">
        <f>G82+G71+G43+G34</f>
        <v>3370</v>
      </c>
      <c r="H83" s="229">
        <f>H82+H71+H43+H34</f>
        <v>164</v>
      </c>
      <c r="I83" s="230">
        <f>I82+I71+I43+I34</f>
        <v>88315</v>
      </c>
      <c r="J83" s="201">
        <f t="shared" si="3"/>
        <v>-1.2048192771084376E-2</v>
      </c>
      <c r="K83" s="202">
        <f t="shared" si="3"/>
        <v>0.15248597155161159</v>
      </c>
      <c r="L83" s="199">
        <f>L82+L71+L43+L34</f>
        <v>166</v>
      </c>
      <c r="M83" s="200">
        <f>M82+M71+M43+M34</f>
        <v>76630</v>
      </c>
      <c r="N83" s="203">
        <f t="shared" si="4"/>
        <v>-0.54570637119113574</v>
      </c>
      <c r="O83" s="204">
        <f t="shared" si="4"/>
        <v>-0.46724377149061957</v>
      </c>
      <c r="P83" s="199">
        <f>P82+P71+P43+P34</f>
        <v>361</v>
      </c>
      <c r="Q83" s="200">
        <f>Q82+Q71+Q43+Q34</f>
        <v>165770</v>
      </c>
      <c r="R83" s="232"/>
    </row>
    <row r="84" spans="1:18">
      <c r="A84" s="25" t="s">
        <v>42</v>
      </c>
    </row>
    <row r="85" spans="1:18">
      <c r="A85" s="25" t="s">
        <v>40</v>
      </c>
    </row>
    <row r="86" spans="1:18">
      <c r="A86" s="25" t="s">
        <v>41</v>
      </c>
    </row>
    <row r="87" spans="1:18">
      <c r="A87" s="25" t="s">
        <v>89</v>
      </c>
    </row>
  </sheetData>
  <mergeCells count="66">
    <mergeCell ref="N5:O5"/>
    <mergeCell ref="P5:Q5"/>
    <mergeCell ref="R5:R6"/>
    <mergeCell ref="A7:A33"/>
    <mergeCell ref="B7:B15"/>
    <mergeCell ref="C7:C10"/>
    <mergeCell ref="D10:E10"/>
    <mergeCell ref="C11:C14"/>
    <mergeCell ref="D14:E14"/>
    <mergeCell ref="C15:E15"/>
    <mergeCell ref="A5:D6"/>
    <mergeCell ref="E5:E6"/>
    <mergeCell ref="F5:G5"/>
    <mergeCell ref="H5:I5"/>
    <mergeCell ref="J5:K5"/>
    <mergeCell ref="L5:M5"/>
    <mergeCell ref="B16:B24"/>
    <mergeCell ref="C16:C19"/>
    <mergeCell ref="D19:E19"/>
    <mergeCell ref="C20:C23"/>
    <mergeCell ref="D23:E23"/>
    <mergeCell ref="C24:E24"/>
    <mergeCell ref="B25:B33"/>
    <mergeCell ref="C25:C28"/>
    <mergeCell ref="D28:E28"/>
    <mergeCell ref="C29:C32"/>
    <mergeCell ref="D32:E32"/>
    <mergeCell ref="C33:E33"/>
    <mergeCell ref="A34:E34"/>
    <mergeCell ref="A35:A42"/>
    <mergeCell ref="B35:B36"/>
    <mergeCell ref="C35:C36"/>
    <mergeCell ref="D36:E36"/>
    <mergeCell ref="B37:B42"/>
    <mergeCell ref="C37:C42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82:E82"/>
    <mergeCell ref="A83:E83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04BA-2A08-47EB-A8F6-86FD2E817B8E}">
  <dimension ref="A1:R87"/>
  <sheetViews>
    <sheetView showGridLines="0" tabSelected="1" topLeftCell="A45" zoomScale="70" zoomScaleNormal="70" workbookViewId="0">
      <selection activeCell="Z57" sqref="Z57"/>
    </sheetView>
  </sheetViews>
  <sheetFormatPr defaultRowHeight="16.5"/>
  <cols>
    <col min="1" max="1" width="4.375" customWidth="1"/>
    <col min="2" max="2" width="5.125" customWidth="1"/>
    <col min="3" max="3" width="7.375" customWidth="1"/>
    <col min="4" max="4" width="6.625" customWidth="1"/>
    <col min="5" max="5" width="5.625" customWidth="1"/>
    <col min="6" max="7" width="7.625" hidden="1" customWidth="1"/>
    <col min="8" max="16" width="7.625" customWidth="1"/>
    <col min="17" max="17" width="8.5" customWidth="1"/>
    <col min="18" max="18" width="13.75" customWidth="1"/>
  </cols>
  <sheetData>
    <row r="1" spans="1:18" ht="20.25">
      <c r="A1" s="26" t="s">
        <v>93</v>
      </c>
    </row>
    <row r="2" spans="1:18">
      <c r="A2" s="1" t="s">
        <v>35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spans="1:18">
      <c r="A3" s="1" t="s">
        <v>36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</row>
    <row r="4" spans="1:18" ht="17.25" thickBot="1">
      <c r="A4" s="1" t="s">
        <v>0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7" t="s">
        <v>1</v>
      </c>
    </row>
    <row r="5" spans="1:18" ht="23.25" customHeight="1">
      <c r="A5" s="289" t="s">
        <v>2</v>
      </c>
      <c r="B5" s="290"/>
      <c r="C5" s="290"/>
      <c r="D5" s="291"/>
      <c r="E5" s="295" t="s">
        <v>3</v>
      </c>
      <c r="F5" s="297" t="s">
        <v>94</v>
      </c>
      <c r="G5" s="298"/>
      <c r="H5" s="299" t="s">
        <v>95</v>
      </c>
      <c r="I5" s="300"/>
      <c r="J5" s="301" t="s">
        <v>69</v>
      </c>
      <c r="K5" s="285"/>
      <c r="L5" s="284" t="s">
        <v>88</v>
      </c>
      <c r="M5" s="285"/>
      <c r="N5" s="284" t="s">
        <v>4</v>
      </c>
      <c r="O5" s="285"/>
      <c r="P5" s="284" t="s">
        <v>72</v>
      </c>
      <c r="Q5" s="285"/>
      <c r="R5" s="286" t="s">
        <v>5</v>
      </c>
    </row>
    <row r="6" spans="1:18">
      <c r="A6" s="292"/>
      <c r="B6" s="293"/>
      <c r="C6" s="293"/>
      <c r="D6" s="294"/>
      <c r="E6" s="296"/>
      <c r="F6" s="222" t="s">
        <v>6</v>
      </c>
      <c r="G6" s="194" t="s">
        <v>7</v>
      </c>
      <c r="H6" s="227" t="s">
        <v>8</v>
      </c>
      <c r="I6" s="228" t="s">
        <v>9</v>
      </c>
      <c r="J6" s="226" t="s">
        <v>8</v>
      </c>
      <c r="K6" s="223" t="s">
        <v>9</v>
      </c>
      <c r="L6" s="224" t="s">
        <v>8</v>
      </c>
      <c r="M6" s="223" t="s">
        <v>9</v>
      </c>
      <c r="N6" s="224" t="s">
        <v>8</v>
      </c>
      <c r="O6" s="223" t="s">
        <v>9</v>
      </c>
      <c r="P6" s="224" t="s">
        <v>8</v>
      </c>
      <c r="Q6" s="223" t="s">
        <v>9</v>
      </c>
      <c r="R6" s="287"/>
    </row>
    <row r="7" spans="1:18">
      <c r="A7" s="288" t="s">
        <v>10</v>
      </c>
      <c r="B7" s="258" t="s">
        <v>11</v>
      </c>
      <c r="C7" s="261" t="s">
        <v>12</v>
      </c>
      <c r="D7" s="213" t="s">
        <v>13</v>
      </c>
      <c r="E7" s="68">
        <v>275</v>
      </c>
      <c r="F7" s="13">
        <v>0</v>
      </c>
      <c r="G7" s="14">
        <f>F7*E7</f>
        <v>0</v>
      </c>
      <c r="H7" s="15">
        <f>F7</f>
        <v>0</v>
      </c>
      <c r="I7" s="16">
        <f>H7*E7</f>
        <v>0</v>
      </c>
      <c r="J7" s="205" t="str">
        <f t="shared" ref="J7:K70" si="0">IFERROR(H7/L7-1,"-")</f>
        <v>-</v>
      </c>
      <c r="K7" s="206" t="str">
        <f t="shared" si="0"/>
        <v>-</v>
      </c>
      <c r="L7" s="84">
        <v>0</v>
      </c>
      <c r="M7" s="81"/>
      <c r="N7" s="19">
        <f t="shared" ref="N7:O38" si="1">IFERROR(H7/P7-1,"-")</f>
        <v>-1</v>
      </c>
      <c r="O7" s="87">
        <f t="shared" si="1"/>
        <v>-1</v>
      </c>
      <c r="P7" s="84">
        <f>3+5</f>
        <v>8</v>
      </c>
      <c r="Q7" s="81">
        <f>690+1210</f>
        <v>1900</v>
      </c>
      <c r="R7" s="184" t="s">
        <v>14</v>
      </c>
    </row>
    <row r="8" spans="1:18">
      <c r="A8" s="268"/>
      <c r="B8" s="259"/>
      <c r="C8" s="262"/>
      <c r="D8" s="214" t="s">
        <v>15</v>
      </c>
      <c r="E8" s="69">
        <v>180</v>
      </c>
      <c r="F8" s="12">
        <v>1</v>
      </c>
      <c r="G8" s="150">
        <v>0</v>
      </c>
      <c r="H8" s="10">
        <v>1</v>
      </c>
      <c r="I8" s="11">
        <f>H8*E8</f>
        <v>180</v>
      </c>
      <c r="J8" s="195">
        <f t="shared" si="0"/>
        <v>0</v>
      </c>
      <c r="K8" s="196">
        <f t="shared" si="0"/>
        <v>5.8823529411764719E-2</v>
      </c>
      <c r="L8" s="85">
        <v>1</v>
      </c>
      <c r="M8" s="82">
        <v>170</v>
      </c>
      <c r="N8" s="77" t="str">
        <f t="shared" si="1"/>
        <v>-</v>
      </c>
      <c r="O8" s="88" t="str">
        <f t="shared" si="1"/>
        <v>-</v>
      </c>
      <c r="P8" s="85">
        <v>0</v>
      </c>
      <c r="Q8" s="82">
        <v>0</v>
      </c>
      <c r="R8" s="185"/>
    </row>
    <row r="9" spans="1:18">
      <c r="A9" s="268"/>
      <c r="B9" s="259"/>
      <c r="C9" s="262"/>
      <c r="D9" s="214" t="s">
        <v>37</v>
      </c>
      <c r="E9" s="69">
        <v>420</v>
      </c>
      <c r="F9" s="12">
        <v>0</v>
      </c>
      <c r="G9" s="150">
        <f>F9*E9</f>
        <v>0</v>
      </c>
      <c r="H9" s="10">
        <v>0</v>
      </c>
      <c r="I9" s="11">
        <f>H9*E9</f>
        <v>0</v>
      </c>
      <c r="J9" s="195" t="str">
        <f t="shared" si="0"/>
        <v>-</v>
      </c>
      <c r="K9" s="196" t="str">
        <f t="shared" si="0"/>
        <v>-</v>
      </c>
      <c r="L9" s="85">
        <v>0</v>
      </c>
      <c r="M9" s="82">
        <v>0</v>
      </c>
      <c r="N9" s="77">
        <f t="shared" si="1"/>
        <v>-1</v>
      </c>
      <c r="O9" s="88">
        <f t="shared" si="1"/>
        <v>-1</v>
      </c>
      <c r="P9" s="85">
        <v>1</v>
      </c>
      <c r="Q9" s="82">
        <v>430</v>
      </c>
      <c r="R9" s="185"/>
    </row>
    <row r="10" spans="1:18">
      <c r="A10" s="268"/>
      <c r="B10" s="259"/>
      <c r="C10" s="263"/>
      <c r="D10" s="250" t="s">
        <v>16</v>
      </c>
      <c r="E10" s="251"/>
      <c r="F10" s="65">
        <f>SUM(F7:F9)</f>
        <v>1</v>
      </c>
      <c r="G10" s="151">
        <f>SUM(G7:G9)</f>
        <v>0</v>
      </c>
      <c r="H10" s="164">
        <f>SUM(H7:H9)</f>
        <v>1</v>
      </c>
      <c r="I10" s="165">
        <f>SUM(I7:I9)</f>
        <v>180</v>
      </c>
      <c r="J10" s="209">
        <f t="shared" si="0"/>
        <v>0</v>
      </c>
      <c r="K10" s="210">
        <f t="shared" si="0"/>
        <v>5.8823529411764719E-2</v>
      </c>
      <c r="L10" s="65">
        <f>SUM(L7:L9)</f>
        <v>1</v>
      </c>
      <c r="M10" s="74">
        <f>SUM(M7:M9)</f>
        <v>170</v>
      </c>
      <c r="N10" s="78">
        <f t="shared" si="1"/>
        <v>-0.88888888888888884</v>
      </c>
      <c r="O10" s="89">
        <f t="shared" si="1"/>
        <v>-0.92274678111587982</v>
      </c>
      <c r="P10" s="65">
        <f>SUM(P7:P9)</f>
        <v>9</v>
      </c>
      <c r="Q10" s="74">
        <f>SUM(Q7:Q9)</f>
        <v>2330</v>
      </c>
      <c r="R10" s="185"/>
    </row>
    <row r="11" spans="1:18">
      <c r="A11" s="268"/>
      <c r="B11" s="259"/>
      <c r="C11" s="261" t="s">
        <v>17</v>
      </c>
      <c r="D11" s="215" t="s">
        <v>18</v>
      </c>
      <c r="E11" s="70">
        <v>550</v>
      </c>
      <c r="F11" s="5">
        <v>1</v>
      </c>
      <c r="G11" s="6">
        <f>F11*E11</f>
        <v>550</v>
      </c>
      <c r="H11" s="7">
        <v>8</v>
      </c>
      <c r="I11" s="8">
        <f>H11*E11</f>
        <v>4400</v>
      </c>
      <c r="J11" s="197">
        <f>IFERROR(H11/L11-1,"-")</f>
        <v>-0.19999999999999996</v>
      </c>
      <c r="K11" s="198">
        <f t="shared" si="0"/>
        <v>-0.16981132075471694</v>
      </c>
      <c r="L11" s="86">
        <v>10</v>
      </c>
      <c r="M11" s="83">
        <v>5300</v>
      </c>
      <c r="N11" s="9">
        <f t="shared" si="1"/>
        <v>-0.6</v>
      </c>
      <c r="O11" s="90">
        <f t="shared" si="1"/>
        <v>-0.58490566037735847</v>
      </c>
      <c r="P11" s="86">
        <v>20</v>
      </c>
      <c r="Q11" s="83">
        <f>1060+9540</f>
        <v>10600</v>
      </c>
      <c r="R11" s="185"/>
    </row>
    <row r="12" spans="1:18">
      <c r="A12" s="268"/>
      <c r="B12" s="259"/>
      <c r="C12" s="262"/>
      <c r="D12" s="214" t="s">
        <v>19</v>
      </c>
      <c r="E12" s="69">
        <v>675</v>
      </c>
      <c r="F12" s="12">
        <v>2</v>
      </c>
      <c r="G12" s="150">
        <f>F12*E12</f>
        <v>1350</v>
      </c>
      <c r="H12" s="10">
        <v>9</v>
      </c>
      <c r="I12" s="11">
        <f>H12*E12</f>
        <v>6075</v>
      </c>
      <c r="J12" s="195">
        <f t="shared" si="0"/>
        <v>0</v>
      </c>
      <c r="K12" s="196">
        <f t="shared" si="0"/>
        <v>5.46875E-2</v>
      </c>
      <c r="L12" s="85">
        <v>9</v>
      </c>
      <c r="M12" s="82">
        <v>5760</v>
      </c>
      <c r="N12" s="77">
        <f t="shared" si="1"/>
        <v>-0.6785714285714286</v>
      </c>
      <c r="O12" s="88">
        <f t="shared" si="1"/>
        <v>-0.6484375</v>
      </c>
      <c r="P12" s="85">
        <v>28</v>
      </c>
      <c r="Q12" s="82">
        <f>9600+7680</f>
        <v>17280</v>
      </c>
      <c r="R12" s="185"/>
    </row>
    <row r="13" spans="1:18">
      <c r="A13" s="268"/>
      <c r="B13" s="259"/>
      <c r="C13" s="262"/>
      <c r="D13" s="214" t="s">
        <v>38</v>
      </c>
      <c r="E13" s="69">
        <v>810</v>
      </c>
      <c r="F13" s="12">
        <v>0</v>
      </c>
      <c r="G13" s="150">
        <f>F13*E13</f>
        <v>0</v>
      </c>
      <c r="H13" s="10">
        <v>3</v>
      </c>
      <c r="I13" s="11">
        <f>H13*E13</f>
        <v>2430</v>
      </c>
      <c r="J13" s="195" t="str">
        <f t="shared" si="0"/>
        <v>-</v>
      </c>
      <c r="K13" s="196" t="str">
        <f t="shared" si="0"/>
        <v>-</v>
      </c>
      <c r="L13" s="85">
        <v>0</v>
      </c>
      <c r="M13" s="82">
        <v>0</v>
      </c>
      <c r="N13" s="77" t="str">
        <f t="shared" si="1"/>
        <v>-</v>
      </c>
      <c r="O13" s="88" t="str">
        <f t="shared" si="1"/>
        <v>-</v>
      </c>
      <c r="P13" s="85">
        <v>0</v>
      </c>
      <c r="Q13" s="82">
        <v>0</v>
      </c>
      <c r="R13" s="185"/>
    </row>
    <row r="14" spans="1:18">
      <c r="A14" s="268"/>
      <c r="B14" s="259"/>
      <c r="C14" s="263"/>
      <c r="D14" s="250" t="s">
        <v>16</v>
      </c>
      <c r="E14" s="251"/>
      <c r="F14" s="65">
        <f>SUM(F11:F13)</f>
        <v>3</v>
      </c>
      <c r="G14" s="151">
        <f>SUM(G11:G13)</f>
        <v>1900</v>
      </c>
      <c r="H14" s="164">
        <f>SUM(H11:H13)</f>
        <v>20</v>
      </c>
      <c r="I14" s="165">
        <f>SUM(I11:I13)</f>
        <v>12905</v>
      </c>
      <c r="J14" s="209">
        <f t="shared" si="0"/>
        <v>5.2631578947368363E-2</v>
      </c>
      <c r="K14" s="210">
        <f t="shared" si="0"/>
        <v>0.16681735985533463</v>
      </c>
      <c r="L14" s="65">
        <f>SUM(L11:L13)</f>
        <v>19</v>
      </c>
      <c r="M14" s="74">
        <f>SUM(M11:M13)</f>
        <v>11060</v>
      </c>
      <c r="N14" s="78">
        <f t="shared" si="1"/>
        <v>-0.58333333333333326</v>
      </c>
      <c r="O14" s="89">
        <f t="shared" si="1"/>
        <v>-0.53712338593974174</v>
      </c>
      <c r="P14" s="65">
        <f>SUM(P11:P13)</f>
        <v>48</v>
      </c>
      <c r="Q14" s="74">
        <f>SUM(Q11:Q13)</f>
        <v>27880</v>
      </c>
      <c r="R14" s="185"/>
    </row>
    <row r="15" spans="1:18">
      <c r="A15" s="268"/>
      <c r="B15" s="260"/>
      <c r="C15" s="255" t="s">
        <v>20</v>
      </c>
      <c r="D15" s="256"/>
      <c r="E15" s="257"/>
      <c r="F15" s="102">
        <f>SUM(F10,F14)</f>
        <v>4</v>
      </c>
      <c r="G15" s="159">
        <f>SUM(G10,G14)</f>
        <v>1900</v>
      </c>
      <c r="H15" s="175">
        <f>H14+H10</f>
        <v>21</v>
      </c>
      <c r="I15" s="176">
        <f>I14+I10</f>
        <v>13085</v>
      </c>
      <c r="J15" s="211">
        <f t="shared" si="0"/>
        <v>5.0000000000000044E-2</v>
      </c>
      <c r="K15" s="212">
        <f t="shared" si="0"/>
        <v>0.16518254674977739</v>
      </c>
      <c r="L15" s="102">
        <f>L14+L10</f>
        <v>20</v>
      </c>
      <c r="M15" s="119">
        <f>M14+M10</f>
        <v>11230</v>
      </c>
      <c r="N15" s="122">
        <f t="shared" si="1"/>
        <v>-0.63157894736842102</v>
      </c>
      <c r="O15" s="126">
        <f t="shared" si="1"/>
        <v>-0.56686527639854356</v>
      </c>
      <c r="P15" s="102">
        <f>SUM(P10,P14)</f>
        <v>57</v>
      </c>
      <c r="Q15" s="119">
        <f>SUM(Q10,Q14)</f>
        <v>30210</v>
      </c>
      <c r="R15" s="191"/>
    </row>
    <row r="16" spans="1:18">
      <c r="A16" s="268"/>
      <c r="B16" s="258" t="s">
        <v>21</v>
      </c>
      <c r="C16" s="261" t="s">
        <v>12</v>
      </c>
      <c r="D16" s="215" t="s">
        <v>13</v>
      </c>
      <c r="E16" s="70">
        <v>190</v>
      </c>
      <c r="F16" s="5">
        <v>0</v>
      </c>
      <c r="G16" s="6">
        <f>F16*E16</f>
        <v>0</v>
      </c>
      <c r="H16" s="7">
        <v>0</v>
      </c>
      <c r="I16" s="8">
        <f>H16*E16</f>
        <v>0</v>
      </c>
      <c r="J16" s="197">
        <f t="shared" si="0"/>
        <v>-1</v>
      </c>
      <c r="K16" s="198">
        <f t="shared" si="0"/>
        <v>-1</v>
      </c>
      <c r="L16" s="86">
        <v>1</v>
      </c>
      <c r="M16" s="83">
        <v>190</v>
      </c>
      <c r="N16" s="9">
        <f t="shared" si="1"/>
        <v>-1</v>
      </c>
      <c r="O16" s="90">
        <f t="shared" si="1"/>
        <v>-1</v>
      </c>
      <c r="P16" s="86">
        <v>5</v>
      </c>
      <c r="Q16" s="83">
        <v>670</v>
      </c>
      <c r="R16" s="185" t="s">
        <v>22</v>
      </c>
    </row>
    <row r="17" spans="1:18">
      <c r="A17" s="268"/>
      <c r="B17" s="259"/>
      <c r="C17" s="262"/>
      <c r="D17" s="214" t="s">
        <v>15</v>
      </c>
      <c r="E17" s="69">
        <v>120</v>
      </c>
      <c r="F17" s="12">
        <v>0</v>
      </c>
      <c r="G17" s="150">
        <f>F17*E17</f>
        <v>0</v>
      </c>
      <c r="H17" s="10">
        <v>0</v>
      </c>
      <c r="I17" s="11">
        <f>H17*E17</f>
        <v>0</v>
      </c>
      <c r="J17" s="195">
        <f t="shared" si="0"/>
        <v>-1</v>
      </c>
      <c r="K17" s="196">
        <f t="shared" si="0"/>
        <v>-1</v>
      </c>
      <c r="L17" s="85">
        <v>1</v>
      </c>
      <c r="M17" s="82">
        <v>120</v>
      </c>
      <c r="N17" s="77">
        <f t="shared" si="1"/>
        <v>-1</v>
      </c>
      <c r="O17" s="88">
        <f t="shared" si="1"/>
        <v>-1</v>
      </c>
      <c r="P17" s="85">
        <v>3</v>
      </c>
      <c r="Q17" s="82">
        <v>430</v>
      </c>
      <c r="R17" s="185"/>
    </row>
    <row r="18" spans="1:18">
      <c r="A18" s="268"/>
      <c r="B18" s="259"/>
      <c r="C18" s="262"/>
      <c r="D18" s="214" t="s">
        <v>37</v>
      </c>
      <c r="E18" s="69">
        <v>300</v>
      </c>
      <c r="F18" s="12">
        <v>0</v>
      </c>
      <c r="G18" s="150">
        <f>F18*E18</f>
        <v>0</v>
      </c>
      <c r="H18" s="10">
        <v>0</v>
      </c>
      <c r="I18" s="11">
        <f>H18*E18</f>
        <v>0</v>
      </c>
      <c r="J18" s="195" t="str">
        <f t="shared" si="0"/>
        <v>-</v>
      </c>
      <c r="K18" s="196" t="str">
        <f t="shared" si="0"/>
        <v>-</v>
      </c>
      <c r="L18" s="85">
        <v>0</v>
      </c>
      <c r="M18" s="82">
        <v>0</v>
      </c>
      <c r="N18" s="77" t="str">
        <f t="shared" si="1"/>
        <v>-</v>
      </c>
      <c r="O18" s="88" t="str">
        <f t="shared" si="1"/>
        <v>-</v>
      </c>
      <c r="P18" s="85">
        <v>0</v>
      </c>
      <c r="Q18" s="82">
        <v>0</v>
      </c>
      <c r="R18" s="185" t="s">
        <v>23</v>
      </c>
    </row>
    <row r="19" spans="1:18">
      <c r="A19" s="268"/>
      <c r="B19" s="259"/>
      <c r="C19" s="263"/>
      <c r="D19" s="250" t="s">
        <v>16</v>
      </c>
      <c r="E19" s="251"/>
      <c r="F19" s="65">
        <f>SUM(F16:F18)</f>
        <v>0</v>
      </c>
      <c r="G19" s="151">
        <f>SUM(G16:G18)</f>
        <v>0</v>
      </c>
      <c r="H19" s="164">
        <f>SUM(H16:H18)</f>
        <v>0</v>
      </c>
      <c r="I19" s="165">
        <f>SUM(I16:I18)</f>
        <v>0</v>
      </c>
      <c r="J19" s="209">
        <f t="shared" si="0"/>
        <v>-1</v>
      </c>
      <c r="K19" s="210">
        <f t="shared" si="0"/>
        <v>-1</v>
      </c>
      <c r="L19" s="65">
        <f>SUM(L16:L18)</f>
        <v>2</v>
      </c>
      <c r="M19" s="74">
        <f>SUM(M16:M18)</f>
        <v>310</v>
      </c>
      <c r="N19" s="78">
        <f t="shared" si="1"/>
        <v>-1</v>
      </c>
      <c r="O19" s="89">
        <f t="shared" si="1"/>
        <v>-1</v>
      </c>
      <c r="P19" s="65">
        <f>SUM(P16:P18)</f>
        <v>8</v>
      </c>
      <c r="Q19" s="74">
        <f>SUM(Q16:Q18)</f>
        <v>1100</v>
      </c>
      <c r="R19" s="185" t="s">
        <v>24</v>
      </c>
    </row>
    <row r="20" spans="1:18">
      <c r="A20" s="268"/>
      <c r="B20" s="259"/>
      <c r="C20" s="261" t="s">
        <v>17</v>
      </c>
      <c r="D20" s="215" t="s">
        <v>18</v>
      </c>
      <c r="E20" s="70">
        <v>440</v>
      </c>
      <c r="F20" s="5">
        <v>1</v>
      </c>
      <c r="G20" s="6">
        <f>F20*E20</f>
        <v>440</v>
      </c>
      <c r="H20" s="7">
        <v>2</v>
      </c>
      <c r="I20" s="8">
        <f>H20*E20</f>
        <v>880</v>
      </c>
      <c r="J20" s="197">
        <f t="shared" si="0"/>
        <v>-0.6</v>
      </c>
      <c r="K20" s="198">
        <f t="shared" si="0"/>
        <v>-0.6</v>
      </c>
      <c r="L20" s="86">
        <v>5</v>
      </c>
      <c r="M20" s="83">
        <v>2200</v>
      </c>
      <c r="N20" s="9">
        <f t="shared" si="1"/>
        <v>-0.88235294117647056</v>
      </c>
      <c r="O20" s="90">
        <f t="shared" si="1"/>
        <v>-0.88235294117647056</v>
      </c>
      <c r="P20" s="86">
        <f>16+1</f>
        <v>17</v>
      </c>
      <c r="Q20" s="83">
        <f>1320+5720+440</f>
        <v>7480</v>
      </c>
      <c r="R20" s="185" t="s">
        <v>25</v>
      </c>
    </row>
    <row r="21" spans="1:18">
      <c r="A21" s="268"/>
      <c r="B21" s="259"/>
      <c r="C21" s="262"/>
      <c r="D21" s="214" t="s">
        <v>19</v>
      </c>
      <c r="E21" s="69">
        <v>520</v>
      </c>
      <c r="F21" s="12">
        <v>0</v>
      </c>
      <c r="G21" s="150">
        <f>F21*E21</f>
        <v>0</v>
      </c>
      <c r="H21" s="10">
        <v>4</v>
      </c>
      <c r="I21" s="11">
        <f>H21*E21</f>
        <v>2080</v>
      </c>
      <c r="J21" s="195">
        <f t="shared" si="0"/>
        <v>-0.33333333333333337</v>
      </c>
      <c r="K21" s="196">
        <f t="shared" si="0"/>
        <v>-0.33333333333333337</v>
      </c>
      <c r="L21" s="85">
        <v>6</v>
      </c>
      <c r="M21" s="82">
        <v>3120</v>
      </c>
      <c r="N21" s="77">
        <f t="shared" si="1"/>
        <v>-0.69230769230769229</v>
      </c>
      <c r="O21" s="88">
        <f t="shared" si="1"/>
        <v>-0.69230769230769229</v>
      </c>
      <c r="P21" s="85">
        <f>9+4</f>
        <v>13</v>
      </c>
      <c r="Q21" s="82">
        <f>1560+3120+2080</f>
        <v>6760</v>
      </c>
      <c r="R21" s="185"/>
    </row>
    <row r="22" spans="1:18">
      <c r="A22" s="268"/>
      <c r="B22" s="259"/>
      <c r="C22" s="262"/>
      <c r="D22" s="214" t="s">
        <v>38</v>
      </c>
      <c r="E22" s="69">
        <v>600</v>
      </c>
      <c r="F22" s="12">
        <v>0</v>
      </c>
      <c r="G22" s="150">
        <f>F22*E22</f>
        <v>0</v>
      </c>
      <c r="H22" s="10">
        <v>0</v>
      </c>
      <c r="I22" s="11">
        <f>H22*E22</f>
        <v>0</v>
      </c>
      <c r="J22" s="195" t="str">
        <f t="shared" si="0"/>
        <v>-</v>
      </c>
      <c r="K22" s="196" t="str">
        <f t="shared" si="0"/>
        <v>-</v>
      </c>
      <c r="L22" s="85">
        <v>0</v>
      </c>
      <c r="M22" s="82">
        <v>0</v>
      </c>
      <c r="N22" s="77" t="str">
        <f t="shared" si="1"/>
        <v>-</v>
      </c>
      <c r="O22" s="88" t="str">
        <f t="shared" si="1"/>
        <v>-</v>
      </c>
      <c r="P22" s="85">
        <v>0</v>
      </c>
      <c r="Q22" s="82">
        <v>0</v>
      </c>
      <c r="R22" s="185"/>
    </row>
    <row r="23" spans="1:18">
      <c r="A23" s="268"/>
      <c r="B23" s="259"/>
      <c r="C23" s="263"/>
      <c r="D23" s="250" t="s">
        <v>16</v>
      </c>
      <c r="E23" s="251"/>
      <c r="F23" s="65">
        <f>SUM(F20:F22)</f>
        <v>1</v>
      </c>
      <c r="G23" s="151">
        <f>SUM(G20:G22)</f>
        <v>440</v>
      </c>
      <c r="H23" s="164">
        <f>SUM(H20:H22)</f>
        <v>6</v>
      </c>
      <c r="I23" s="165">
        <f>SUM(I20:I22)</f>
        <v>2960</v>
      </c>
      <c r="J23" s="209">
        <f t="shared" si="0"/>
        <v>-0.45454545454545459</v>
      </c>
      <c r="K23" s="210">
        <f t="shared" si="0"/>
        <v>-0.44360902255639101</v>
      </c>
      <c r="L23" s="65">
        <f>SUM(L20:L22)</f>
        <v>11</v>
      </c>
      <c r="M23" s="74">
        <f>SUM(M20:M22)</f>
        <v>5320</v>
      </c>
      <c r="N23" s="78">
        <f t="shared" si="1"/>
        <v>-0.8</v>
      </c>
      <c r="O23" s="89">
        <f t="shared" si="1"/>
        <v>-0.7921348314606742</v>
      </c>
      <c r="P23" s="65">
        <f>SUM(P20:P22)</f>
        <v>30</v>
      </c>
      <c r="Q23" s="74">
        <f>SUM(Q20:Q22)</f>
        <v>14240</v>
      </c>
      <c r="R23" s="185"/>
    </row>
    <row r="24" spans="1:18">
      <c r="A24" s="268"/>
      <c r="B24" s="260"/>
      <c r="C24" s="255" t="s">
        <v>20</v>
      </c>
      <c r="D24" s="256"/>
      <c r="E24" s="257"/>
      <c r="F24" s="102">
        <f>SUM(F19,F23)</f>
        <v>1</v>
      </c>
      <c r="G24" s="159">
        <f>SUM(G19,G23)</f>
        <v>440</v>
      </c>
      <c r="H24" s="175">
        <f>H23+H19</f>
        <v>6</v>
      </c>
      <c r="I24" s="176">
        <f>I23+I19</f>
        <v>2960</v>
      </c>
      <c r="J24" s="211">
        <f t="shared" si="0"/>
        <v>-0.53846153846153844</v>
      </c>
      <c r="K24" s="212">
        <f t="shared" si="0"/>
        <v>-0.47424511545293069</v>
      </c>
      <c r="L24" s="102">
        <f>L23+L19</f>
        <v>13</v>
      </c>
      <c r="M24" s="119">
        <f>M23+M19</f>
        <v>5630</v>
      </c>
      <c r="N24" s="122">
        <f t="shared" si="1"/>
        <v>-0.84210526315789469</v>
      </c>
      <c r="O24" s="126">
        <f t="shared" si="1"/>
        <v>-0.80704041720990871</v>
      </c>
      <c r="P24" s="102">
        <f>SUM(P19,P23)</f>
        <v>38</v>
      </c>
      <c r="Q24" s="119">
        <f>SUM(Q19,Q23)</f>
        <v>15340</v>
      </c>
      <c r="R24" s="191"/>
    </row>
    <row r="25" spans="1:18">
      <c r="A25" s="268"/>
      <c r="B25" s="258" t="s">
        <v>26</v>
      </c>
      <c r="C25" s="261" t="s">
        <v>12</v>
      </c>
      <c r="D25" s="215" t="s">
        <v>13</v>
      </c>
      <c r="E25" s="70">
        <v>190</v>
      </c>
      <c r="F25" s="5">
        <v>0</v>
      </c>
      <c r="G25" s="6">
        <f>F25*E25</f>
        <v>0</v>
      </c>
      <c r="H25" s="7">
        <v>1</v>
      </c>
      <c r="I25" s="8">
        <f>H25*E25</f>
        <v>190</v>
      </c>
      <c r="J25" s="197">
        <f t="shared" si="0"/>
        <v>-0.88888888888888884</v>
      </c>
      <c r="K25" s="198">
        <f t="shared" si="0"/>
        <v>-0.88888888888888884</v>
      </c>
      <c r="L25" s="86">
        <v>9</v>
      </c>
      <c r="M25" s="83">
        <v>1710</v>
      </c>
      <c r="N25" s="9">
        <f t="shared" si="1"/>
        <v>-0.94736842105263164</v>
      </c>
      <c r="O25" s="90">
        <f t="shared" si="1"/>
        <v>-0.93470790378006874</v>
      </c>
      <c r="P25" s="86">
        <v>19</v>
      </c>
      <c r="Q25" s="83">
        <v>2910</v>
      </c>
      <c r="R25" s="185" t="s">
        <v>22</v>
      </c>
    </row>
    <row r="26" spans="1:18">
      <c r="A26" s="268"/>
      <c r="B26" s="259"/>
      <c r="C26" s="262"/>
      <c r="D26" s="214" t="s">
        <v>15</v>
      </c>
      <c r="E26" s="69">
        <v>120</v>
      </c>
      <c r="F26" s="12">
        <v>0</v>
      </c>
      <c r="G26" s="150">
        <f>F26*E26</f>
        <v>0</v>
      </c>
      <c r="H26" s="10">
        <v>3</v>
      </c>
      <c r="I26" s="11">
        <f>H26*E26</f>
        <v>360</v>
      </c>
      <c r="J26" s="195">
        <f t="shared" si="0"/>
        <v>-0.5714285714285714</v>
      </c>
      <c r="K26" s="196">
        <f t="shared" si="0"/>
        <v>-0.5714285714285714</v>
      </c>
      <c r="L26" s="85">
        <v>7</v>
      </c>
      <c r="M26" s="82">
        <v>840</v>
      </c>
      <c r="N26" s="77" t="str">
        <f t="shared" si="1"/>
        <v>-</v>
      </c>
      <c r="O26" s="88" t="str">
        <f t="shared" si="1"/>
        <v>-</v>
      </c>
      <c r="P26" s="85">
        <v>0</v>
      </c>
      <c r="Q26" s="82">
        <v>0</v>
      </c>
      <c r="R26" s="185"/>
    </row>
    <row r="27" spans="1:18">
      <c r="A27" s="268"/>
      <c r="B27" s="259"/>
      <c r="C27" s="262"/>
      <c r="D27" s="214" t="s">
        <v>37</v>
      </c>
      <c r="E27" s="69">
        <v>300</v>
      </c>
      <c r="F27" s="12">
        <v>0</v>
      </c>
      <c r="G27" s="150">
        <f>F27*E27</f>
        <v>0</v>
      </c>
      <c r="H27" s="10">
        <v>6</v>
      </c>
      <c r="I27" s="11">
        <f>H27*E27</f>
        <v>1800</v>
      </c>
      <c r="J27" s="195" t="str">
        <f t="shared" si="0"/>
        <v>-</v>
      </c>
      <c r="K27" s="196" t="str">
        <f t="shared" si="0"/>
        <v>-</v>
      </c>
      <c r="L27" s="85">
        <v>0</v>
      </c>
      <c r="M27" s="82">
        <v>0</v>
      </c>
      <c r="N27" s="77">
        <f t="shared" si="1"/>
        <v>-0.1428571428571429</v>
      </c>
      <c r="O27" s="88">
        <f t="shared" si="1"/>
        <v>-0.17050691244239635</v>
      </c>
      <c r="P27" s="85">
        <v>7</v>
      </c>
      <c r="Q27" s="82">
        <v>2170</v>
      </c>
      <c r="R27" s="185" t="s">
        <v>27</v>
      </c>
    </row>
    <row r="28" spans="1:18">
      <c r="A28" s="268"/>
      <c r="B28" s="259"/>
      <c r="C28" s="263"/>
      <c r="D28" s="250" t="s">
        <v>16</v>
      </c>
      <c r="E28" s="251"/>
      <c r="F28" s="65">
        <f>SUM(F25:F27)</f>
        <v>0</v>
      </c>
      <c r="G28" s="151">
        <f>SUM(G25:G27)</f>
        <v>0</v>
      </c>
      <c r="H28" s="164">
        <f>SUM(H25:H27)</f>
        <v>10</v>
      </c>
      <c r="I28" s="165">
        <f>SUM(I25:I27)</f>
        <v>2350</v>
      </c>
      <c r="J28" s="209">
        <f t="shared" si="0"/>
        <v>-0.375</v>
      </c>
      <c r="K28" s="210">
        <f t="shared" si="0"/>
        <v>-7.8431372549019662E-2</v>
      </c>
      <c r="L28" s="65">
        <f>SUM(L25:L27)</f>
        <v>16</v>
      </c>
      <c r="M28" s="74">
        <f>SUM(M25:M27)</f>
        <v>2550</v>
      </c>
      <c r="N28" s="78">
        <f t="shared" si="1"/>
        <v>-0.61538461538461542</v>
      </c>
      <c r="O28" s="89">
        <f t="shared" si="1"/>
        <v>-0.53740157480314954</v>
      </c>
      <c r="P28" s="65">
        <f>SUM(P25:P27)</f>
        <v>26</v>
      </c>
      <c r="Q28" s="74">
        <f>SUM(Q25:Q27)</f>
        <v>5080</v>
      </c>
      <c r="R28" s="185"/>
    </row>
    <row r="29" spans="1:18">
      <c r="A29" s="268"/>
      <c r="B29" s="259"/>
      <c r="C29" s="261" t="s">
        <v>17</v>
      </c>
      <c r="D29" s="215" t="s">
        <v>18</v>
      </c>
      <c r="E29" s="70">
        <v>440</v>
      </c>
      <c r="F29" s="5">
        <v>7</v>
      </c>
      <c r="G29" s="6">
        <f>F29*E29</f>
        <v>3080</v>
      </c>
      <c r="H29" s="7">
        <v>37</v>
      </c>
      <c r="I29" s="8">
        <f>H29*E29</f>
        <v>16280</v>
      </c>
      <c r="J29" s="197">
        <f t="shared" si="0"/>
        <v>2.7777777777777679E-2</v>
      </c>
      <c r="K29" s="198">
        <f t="shared" si="0"/>
        <v>2.7777777777777679E-2</v>
      </c>
      <c r="L29" s="86">
        <v>36</v>
      </c>
      <c r="M29" s="83">
        <v>15840</v>
      </c>
      <c r="N29" s="9">
        <f t="shared" si="1"/>
        <v>-0.31481481481481477</v>
      </c>
      <c r="O29" s="90">
        <f t="shared" si="1"/>
        <v>-0.31481481481481477</v>
      </c>
      <c r="P29" s="86">
        <v>54</v>
      </c>
      <c r="Q29" s="83">
        <v>23760</v>
      </c>
      <c r="R29" s="185"/>
    </row>
    <row r="30" spans="1:18">
      <c r="A30" s="268"/>
      <c r="B30" s="259"/>
      <c r="C30" s="262"/>
      <c r="D30" s="214" t="s">
        <v>19</v>
      </c>
      <c r="E30" s="69">
        <v>520</v>
      </c>
      <c r="F30" s="12">
        <v>3</v>
      </c>
      <c r="G30" s="150">
        <f>F30*E30</f>
        <v>1560</v>
      </c>
      <c r="H30" s="10">
        <v>23</v>
      </c>
      <c r="I30" s="11">
        <f>H30*E30</f>
        <v>11960</v>
      </c>
      <c r="J30" s="195">
        <f t="shared" si="0"/>
        <v>-0.28125</v>
      </c>
      <c r="K30" s="196">
        <f t="shared" si="0"/>
        <v>-0.28125</v>
      </c>
      <c r="L30" s="85">
        <v>32</v>
      </c>
      <c r="M30" s="82">
        <v>16640</v>
      </c>
      <c r="N30" s="77">
        <f t="shared" si="1"/>
        <v>-0.43902439024390238</v>
      </c>
      <c r="O30" s="88">
        <f t="shared" si="1"/>
        <v>-0.45238095238095233</v>
      </c>
      <c r="P30" s="85">
        <v>41</v>
      </c>
      <c r="Q30" s="82">
        <v>21840</v>
      </c>
      <c r="R30" s="185"/>
    </row>
    <row r="31" spans="1:18">
      <c r="A31" s="268"/>
      <c r="B31" s="259"/>
      <c r="C31" s="262"/>
      <c r="D31" s="214" t="s">
        <v>38</v>
      </c>
      <c r="E31" s="69">
        <v>600</v>
      </c>
      <c r="F31" s="12">
        <v>0</v>
      </c>
      <c r="G31" s="150">
        <f>F31*E31</f>
        <v>0</v>
      </c>
      <c r="H31" s="10">
        <v>6</v>
      </c>
      <c r="I31" s="11">
        <f>H31*E31</f>
        <v>3600</v>
      </c>
      <c r="J31" s="195" t="str">
        <f t="shared" si="0"/>
        <v>-</v>
      </c>
      <c r="K31" s="196" t="str">
        <f t="shared" si="0"/>
        <v>-</v>
      </c>
      <c r="L31" s="85">
        <v>0</v>
      </c>
      <c r="M31" s="82">
        <v>0</v>
      </c>
      <c r="N31" s="77" t="str">
        <f t="shared" si="1"/>
        <v>-</v>
      </c>
      <c r="O31" s="88" t="str">
        <f t="shared" si="1"/>
        <v>-</v>
      </c>
      <c r="P31" s="85">
        <v>0</v>
      </c>
      <c r="Q31" s="82">
        <v>0</v>
      </c>
      <c r="R31" s="185"/>
    </row>
    <row r="32" spans="1:18">
      <c r="A32" s="268"/>
      <c r="B32" s="259"/>
      <c r="C32" s="263"/>
      <c r="D32" s="250" t="s">
        <v>16</v>
      </c>
      <c r="E32" s="251"/>
      <c r="F32" s="65">
        <f>SUM(F29:F31)</f>
        <v>10</v>
      </c>
      <c r="G32" s="151">
        <f>SUM(G29:G31)</f>
        <v>4640</v>
      </c>
      <c r="H32" s="164">
        <f>SUM(H29:H31)</f>
        <v>66</v>
      </c>
      <c r="I32" s="165">
        <f>SUM(I29:I31)</f>
        <v>31840</v>
      </c>
      <c r="J32" s="209">
        <f t="shared" si="0"/>
        <v>-2.9411764705882359E-2</v>
      </c>
      <c r="K32" s="210">
        <f t="shared" si="0"/>
        <v>-1.9704433497536922E-2</v>
      </c>
      <c r="L32" s="65">
        <f>SUM(L29:L31)</f>
        <v>68</v>
      </c>
      <c r="M32" s="74">
        <f>SUM(M29:M31)</f>
        <v>32480</v>
      </c>
      <c r="N32" s="78">
        <f t="shared" si="1"/>
        <v>-0.30526315789473679</v>
      </c>
      <c r="O32" s="89">
        <f t="shared" si="1"/>
        <v>-0.30175438596491233</v>
      </c>
      <c r="P32" s="65">
        <f>SUM(P29:P31)</f>
        <v>95</v>
      </c>
      <c r="Q32" s="74">
        <f>SUM(Q29:Q31)</f>
        <v>45600</v>
      </c>
      <c r="R32" s="185"/>
    </row>
    <row r="33" spans="1:18">
      <c r="A33" s="269"/>
      <c r="B33" s="260"/>
      <c r="C33" s="255" t="s">
        <v>20</v>
      </c>
      <c r="D33" s="256"/>
      <c r="E33" s="257"/>
      <c r="F33" s="102">
        <f>SUM(F28,F32)</f>
        <v>10</v>
      </c>
      <c r="G33" s="159">
        <f>SUM(G28,G32)</f>
        <v>4640</v>
      </c>
      <c r="H33" s="175">
        <f>H32+H28</f>
        <v>76</v>
      </c>
      <c r="I33" s="176">
        <f>I32+I28</f>
        <v>34190</v>
      </c>
      <c r="J33" s="211">
        <f t="shared" si="0"/>
        <v>-9.5238095238095233E-2</v>
      </c>
      <c r="K33" s="212">
        <f t="shared" si="0"/>
        <v>-2.3979446188980846E-2</v>
      </c>
      <c r="L33" s="102">
        <f>L32+L28</f>
        <v>84</v>
      </c>
      <c r="M33" s="119">
        <f>M32+M28</f>
        <v>35030</v>
      </c>
      <c r="N33" s="122">
        <f t="shared" si="1"/>
        <v>-0.37190082644628097</v>
      </c>
      <c r="O33" s="126">
        <f t="shared" si="1"/>
        <v>-0.32537490134175218</v>
      </c>
      <c r="P33" s="102">
        <f>SUM(P28,P32)</f>
        <v>121</v>
      </c>
      <c r="Q33" s="119">
        <f>SUM(Q28,Q32)</f>
        <v>50680</v>
      </c>
      <c r="R33" s="191"/>
    </row>
    <row r="34" spans="1:18">
      <c r="A34" s="239" t="s">
        <v>28</v>
      </c>
      <c r="B34" s="240"/>
      <c r="C34" s="240"/>
      <c r="D34" s="240"/>
      <c r="E34" s="241"/>
      <c r="F34" s="97">
        <f>F15+F24+F33</f>
        <v>15</v>
      </c>
      <c r="G34" s="158">
        <f>G15+G24+G33</f>
        <v>6980</v>
      </c>
      <c r="H34" s="173">
        <f>H15+H24+H33</f>
        <v>103</v>
      </c>
      <c r="I34" s="174">
        <f>I15+I24+I33</f>
        <v>50235</v>
      </c>
      <c r="J34" s="207">
        <f t="shared" si="0"/>
        <v>-0.11965811965811968</v>
      </c>
      <c r="K34" s="208">
        <f t="shared" si="0"/>
        <v>-3.1894391983041004E-2</v>
      </c>
      <c r="L34" s="97">
        <f>L15+L24+L33</f>
        <v>117</v>
      </c>
      <c r="M34" s="118">
        <f>M15+M24+M33</f>
        <v>51890</v>
      </c>
      <c r="N34" s="121">
        <f t="shared" si="1"/>
        <v>-0.52314814814814814</v>
      </c>
      <c r="O34" s="125">
        <f t="shared" si="1"/>
        <v>-0.47796944819702791</v>
      </c>
      <c r="P34" s="97">
        <f>P33+P24+P15</f>
        <v>216</v>
      </c>
      <c r="Q34" s="118">
        <f>Q33+Q24+Q15</f>
        <v>96230</v>
      </c>
      <c r="R34" s="185"/>
    </row>
    <row r="35" spans="1:18">
      <c r="A35" s="273" t="s">
        <v>46</v>
      </c>
      <c r="B35" s="276" t="s">
        <v>29</v>
      </c>
      <c r="C35" s="278" t="s">
        <v>30</v>
      </c>
      <c r="D35" s="193" t="s">
        <v>19</v>
      </c>
      <c r="E35" s="104">
        <v>990</v>
      </c>
      <c r="F35" s="98">
        <v>0</v>
      </c>
      <c r="G35" s="154">
        <f>F35*E35</f>
        <v>0</v>
      </c>
      <c r="H35" s="17">
        <v>17</v>
      </c>
      <c r="I35" s="18">
        <f>H35*E35</f>
        <v>16830</v>
      </c>
      <c r="J35" s="205">
        <f t="shared" si="0"/>
        <v>3.25</v>
      </c>
      <c r="K35" s="206">
        <f t="shared" si="0"/>
        <v>2.5062500000000001</v>
      </c>
      <c r="L35" s="98">
        <v>4</v>
      </c>
      <c r="M35" s="114">
        <v>4800</v>
      </c>
      <c r="N35" s="19">
        <f t="shared" si="1"/>
        <v>0.7</v>
      </c>
      <c r="O35" s="87">
        <f t="shared" si="1"/>
        <v>0.16874999999999996</v>
      </c>
      <c r="P35" s="98">
        <v>10</v>
      </c>
      <c r="Q35" s="114">
        <v>14400</v>
      </c>
      <c r="R35" s="186"/>
    </row>
    <row r="36" spans="1:18">
      <c r="A36" s="274"/>
      <c r="B36" s="277"/>
      <c r="C36" s="279"/>
      <c r="D36" s="280" t="s">
        <v>16</v>
      </c>
      <c r="E36" s="281"/>
      <c r="F36" s="99">
        <f>F35</f>
        <v>0</v>
      </c>
      <c r="G36" s="155">
        <f>G35</f>
        <v>0</v>
      </c>
      <c r="H36" s="170">
        <f>H35</f>
        <v>17</v>
      </c>
      <c r="I36" s="171">
        <f>I35</f>
        <v>16830</v>
      </c>
      <c r="J36" s="209">
        <f t="shared" si="0"/>
        <v>3.25</v>
      </c>
      <c r="K36" s="210">
        <f t="shared" si="0"/>
        <v>2.5062500000000001</v>
      </c>
      <c r="L36" s="99">
        <f>L35</f>
        <v>4</v>
      </c>
      <c r="M36" s="115">
        <f>M35</f>
        <v>4800</v>
      </c>
      <c r="N36" s="78">
        <f t="shared" si="1"/>
        <v>0.7</v>
      </c>
      <c r="O36" s="89">
        <f t="shared" si="1"/>
        <v>0.16874999999999996</v>
      </c>
      <c r="P36" s="99">
        <f>SUM(P35)</f>
        <v>10</v>
      </c>
      <c r="Q36" s="115">
        <f>SUM(Q35)</f>
        <v>14400</v>
      </c>
      <c r="R36" s="186"/>
    </row>
    <row r="37" spans="1:18" ht="16.5" customHeight="1">
      <c r="A37" s="274"/>
      <c r="B37" s="278" t="s">
        <v>31</v>
      </c>
      <c r="C37" s="273" t="s">
        <v>32</v>
      </c>
      <c r="D37" s="217" t="s">
        <v>33</v>
      </c>
      <c r="E37" s="106">
        <v>50</v>
      </c>
      <c r="F37" s="100"/>
      <c r="G37" s="156"/>
      <c r="H37" s="21"/>
      <c r="I37" s="28"/>
      <c r="J37" s="197" t="str">
        <f t="shared" si="0"/>
        <v>-</v>
      </c>
      <c r="K37" s="198" t="str">
        <f t="shared" si="0"/>
        <v>-</v>
      </c>
      <c r="L37" s="100"/>
      <c r="M37" s="116"/>
      <c r="N37" s="9">
        <f t="shared" si="1"/>
        <v>-1</v>
      </c>
      <c r="O37" s="90">
        <f t="shared" si="1"/>
        <v>-1</v>
      </c>
      <c r="P37" s="100">
        <v>6</v>
      </c>
      <c r="Q37" s="116">
        <v>300</v>
      </c>
      <c r="R37" s="186"/>
    </row>
    <row r="38" spans="1:18" ht="16.5" customHeight="1">
      <c r="A38" s="274"/>
      <c r="B38" s="282"/>
      <c r="C38" s="274"/>
      <c r="D38" s="218" t="s">
        <v>34</v>
      </c>
      <c r="E38" s="107">
        <v>100</v>
      </c>
      <c r="F38" s="101"/>
      <c r="G38" s="157"/>
      <c r="H38" s="20"/>
      <c r="I38" s="172"/>
      <c r="J38" s="195" t="str">
        <f t="shared" si="0"/>
        <v>-</v>
      </c>
      <c r="K38" s="196" t="str">
        <f t="shared" si="0"/>
        <v>-</v>
      </c>
      <c r="L38" s="101"/>
      <c r="M38" s="117"/>
      <c r="N38" s="77">
        <f t="shared" si="1"/>
        <v>-1</v>
      </c>
      <c r="O38" s="88">
        <f t="shared" si="1"/>
        <v>-1</v>
      </c>
      <c r="P38" s="101">
        <v>3</v>
      </c>
      <c r="Q38" s="117">
        <v>300</v>
      </c>
      <c r="R38" s="186"/>
    </row>
    <row r="39" spans="1:18" ht="16.5" customHeight="1">
      <c r="A39" s="274"/>
      <c r="B39" s="282"/>
      <c r="C39" s="274"/>
      <c r="D39" s="218" t="s">
        <v>18</v>
      </c>
      <c r="E39" s="107">
        <v>150</v>
      </c>
      <c r="F39" s="101"/>
      <c r="G39" s="157"/>
      <c r="H39" s="20"/>
      <c r="I39" s="172"/>
      <c r="J39" s="195" t="str">
        <f t="shared" si="0"/>
        <v>-</v>
      </c>
      <c r="K39" s="196" t="str">
        <f t="shared" si="0"/>
        <v>-</v>
      </c>
      <c r="L39" s="101"/>
      <c r="M39" s="117"/>
      <c r="N39" s="77">
        <f t="shared" ref="N39:O70" si="2">IFERROR(H39/P39-1,"-")</f>
        <v>-1</v>
      </c>
      <c r="O39" s="88">
        <f t="shared" si="2"/>
        <v>-1</v>
      </c>
      <c r="P39" s="101">
        <v>1</v>
      </c>
      <c r="Q39" s="117">
        <v>150</v>
      </c>
      <c r="R39" s="186"/>
    </row>
    <row r="40" spans="1:18" ht="16.5" customHeight="1">
      <c r="A40" s="274"/>
      <c r="B40" s="282"/>
      <c r="C40" s="274"/>
      <c r="D40" s="218" t="s">
        <v>19</v>
      </c>
      <c r="E40" s="107">
        <v>200</v>
      </c>
      <c r="F40" s="101"/>
      <c r="G40" s="157"/>
      <c r="H40" s="20"/>
      <c r="I40" s="172"/>
      <c r="J40" s="195" t="str">
        <f t="shared" si="0"/>
        <v>-</v>
      </c>
      <c r="K40" s="196" t="str">
        <f t="shared" si="0"/>
        <v>-</v>
      </c>
      <c r="L40" s="101"/>
      <c r="M40" s="117"/>
      <c r="N40" s="77">
        <f t="shared" si="2"/>
        <v>-1</v>
      </c>
      <c r="O40" s="88">
        <f t="shared" si="2"/>
        <v>-1</v>
      </c>
      <c r="P40" s="101">
        <v>1</v>
      </c>
      <c r="Q40" s="117">
        <v>200</v>
      </c>
      <c r="R40" s="186"/>
    </row>
    <row r="41" spans="1:18" ht="16.5" customHeight="1">
      <c r="A41" s="274"/>
      <c r="B41" s="282"/>
      <c r="C41" s="274"/>
      <c r="D41" s="218" t="s">
        <v>38</v>
      </c>
      <c r="E41" s="107">
        <v>250</v>
      </c>
      <c r="F41" s="101"/>
      <c r="G41" s="157"/>
      <c r="H41" s="20"/>
      <c r="I41" s="172"/>
      <c r="J41" s="195" t="str">
        <f t="shared" si="0"/>
        <v>-</v>
      </c>
      <c r="K41" s="196" t="str">
        <f t="shared" si="0"/>
        <v>-</v>
      </c>
      <c r="L41" s="101"/>
      <c r="M41" s="117"/>
      <c r="N41" s="77" t="str">
        <f t="shared" si="2"/>
        <v>-</v>
      </c>
      <c r="O41" s="88" t="str">
        <f t="shared" si="2"/>
        <v>-</v>
      </c>
      <c r="P41" s="101">
        <v>0</v>
      </c>
      <c r="Q41" s="117">
        <v>0</v>
      </c>
      <c r="R41" s="186"/>
    </row>
    <row r="42" spans="1:18" ht="16.5" customHeight="1">
      <c r="A42" s="275"/>
      <c r="B42" s="283"/>
      <c r="C42" s="275"/>
      <c r="D42" s="216" t="s">
        <v>16</v>
      </c>
      <c r="E42" s="105">
        <v>0</v>
      </c>
      <c r="F42" s="99"/>
      <c r="G42" s="155"/>
      <c r="H42" s="170"/>
      <c r="I42" s="171"/>
      <c r="J42" s="209" t="str">
        <f t="shared" si="0"/>
        <v>-</v>
      </c>
      <c r="K42" s="210" t="str">
        <f t="shared" si="0"/>
        <v>-</v>
      </c>
      <c r="L42" s="99"/>
      <c r="M42" s="115"/>
      <c r="N42" s="78">
        <f t="shared" si="2"/>
        <v>-1</v>
      </c>
      <c r="O42" s="89">
        <f t="shared" si="2"/>
        <v>-1</v>
      </c>
      <c r="P42" s="99">
        <f>SUM(P37:P41)</f>
        <v>11</v>
      </c>
      <c r="Q42" s="115">
        <f>SUM(Q37:Q41)</f>
        <v>950</v>
      </c>
      <c r="R42" s="192"/>
    </row>
    <row r="43" spans="1:18">
      <c r="A43" s="264" t="s">
        <v>47</v>
      </c>
      <c r="B43" s="265"/>
      <c r="C43" s="265"/>
      <c r="D43" s="265"/>
      <c r="E43" s="266"/>
      <c r="F43" s="97">
        <f>F42+F36</f>
        <v>0</v>
      </c>
      <c r="G43" s="158">
        <f>G42+G36</f>
        <v>0</v>
      </c>
      <c r="H43" s="173">
        <f>H42+H36</f>
        <v>17</v>
      </c>
      <c r="I43" s="174">
        <f>I42+I36</f>
        <v>16830</v>
      </c>
      <c r="J43" s="207">
        <f t="shared" si="0"/>
        <v>3.25</v>
      </c>
      <c r="K43" s="208">
        <f t="shared" si="0"/>
        <v>2.5062500000000001</v>
      </c>
      <c r="L43" s="97">
        <f>L42+L36</f>
        <v>4</v>
      </c>
      <c r="M43" s="118">
        <f>M42+M36</f>
        <v>4800</v>
      </c>
      <c r="N43" s="121">
        <f t="shared" si="2"/>
        <v>-0.19047619047619047</v>
      </c>
      <c r="O43" s="125">
        <f t="shared" si="2"/>
        <v>9.641693811074914E-2</v>
      </c>
      <c r="P43" s="97">
        <f>P42+P36</f>
        <v>21</v>
      </c>
      <c r="Q43" s="118">
        <f>Q42+Q36</f>
        <v>15350</v>
      </c>
      <c r="R43" s="186"/>
    </row>
    <row r="44" spans="1:18" ht="16.5" customHeight="1">
      <c r="A44" s="267" t="s">
        <v>48</v>
      </c>
      <c r="B44" s="258" t="s">
        <v>11</v>
      </c>
      <c r="C44" s="261" t="s">
        <v>12</v>
      </c>
      <c r="D44" s="213" t="s">
        <v>13</v>
      </c>
      <c r="E44" s="68">
        <v>275</v>
      </c>
      <c r="F44" s="13">
        <v>0</v>
      </c>
      <c r="G44" s="14">
        <f>F44*E44</f>
        <v>0</v>
      </c>
      <c r="H44" s="15">
        <f>F44</f>
        <v>0</v>
      </c>
      <c r="I44" s="16">
        <f>H44*E44</f>
        <v>0</v>
      </c>
      <c r="J44" s="205" t="str">
        <f t="shared" si="0"/>
        <v>-</v>
      </c>
      <c r="K44" s="206" t="str">
        <f t="shared" si="0"/>
        <v>-</v>
      </c>
      <c r="L44" s="84"/>
      <c r="M44" s="81"/>
      <c r="N44" s="19">
        <f t="shared" si="2"/>
        <v>-1</v>
      </c>
      <c r="O44" s="87">
        <f t="shared" si="2"/>
        <v>-1</v>
      </c>
      <c r="P44" s="84">
        <v>3</v>
      </c>
      <c r="Q44" s="81">
        <v>650</v>
      </c>
      <c r="R44" s="187"/>
    </row>
    <row r="45" spans="1:18" ht="16.5" customHeight="1">
      <c r="A45" s="268"/>
      <c r="B45" s="259"/>
      <c r="C45" s="262"/>
      <c r="D45" s="214" t="s">
        <v>15</v>
      </c>
      <c r="E45" s="69">
        <v>180</v>
      </c>
      <c r="F45" s="12"/>
      <c r="G45" s="150"/>
      <c r="H45" s="10">
        <v>0</v>
      </c>
      <c r="I45" s="11">
        <f>H45*E45</f>
        <v>0</v>
      </c>
      <c r="J45" s="195" t="str">
        <f t="shared" si="0"/>
        <v>-</v>
      </c>
      <c r="K45" s="196" t="str">
        <f t="shared" si="0"/>
        <v>-</v>
      </c>
      <c r="L45" s="85"/>
      <c r="M45" s="82"/>
      <c r="N45" s="77" t="str">
        <f t="shared" si="2"/>
        <v>-</v>
      </c>
      <c r="O45" s="88" t="str">
        <f t="shared" si="2"/>
        <v>-</v>
      </c>
      <c r="P45" s="85">
        <v>0</v>
      </c>
      <c r="Q45" s="82">
        <v>0</v>
      </c>
      <c r="R45" s="187"/>
    </row>
    <row r="46" spans="1:18" ht="16.5" customHeight="1">
      <c r="A46" s="268"/>
      <c r="B46" s="259"/>
      <c r="C46" s="262"/>
      <c r="D46" s="214" t="s">
        <v>37</v>
      </c>
      <c r="E46" s="69">
        <v>420</v>
      </c>
      <c r="F46" s="12">
        <v>0</v>
      </c>
      <c r="G46" s="150">
        <f>F46*E46</f>
        <v>0</v>
      </c>
      <c r="H46" s="10">
        <v>0</v>
      </c>
      <c r="I46" s="11">
        <f>H46*E46</f>
        <v>0</v>
      </c>
      <c r="J46" s="195" t="str">
        <f t="shared" si="0"/>
        <v>-</v>
      </c>
      <c r="K46" s="196" t="str">
        <f t="shared" si="0"/>
        <v>-</v>
      </c>
      <c r="L46" s="85"/>
      <c r="M46" s="82"/>
      <c r="N46" s="77" t="str">
        <f t="shared" si="2"/>
        <v>-</v>
      </c>
      <c r="O46" s="88" t="str">
        <f t="shared" si="2"/>
        <v>-</v>
      </c>
      <c r="P46" s="85">
        <v>0</v>
      </c>
      <c r="Q46" s="82">
        <v>0</v>
      </c>
      <c r="R46" s="186"/>
    </row>
    <row r="47" spans="1:18" ht="16.5" customHeight="1">
      <c r="A47" s="268"/>
      <c r="B47" s="259"/>
      <c r="C47" s="263"/>
      <c r="D47" s="250" t="s">
        <v>16</v>
      </c>
      <c r="E47" s="251"/>
      <c r="F47" s="65">
        <f>SUM(F44:F46)</f>
        <v>0</v>
      </c>
      <c r="G47" s="151">
        <f>SUM(G44:G46)</f>
        <v>0</v>
      </c>
      <c r="H47" s="164">
        <f>SUM(H44:H46)</f>
        <v>0</v>
      </c>
      <c r="I47" s="165">
        <f>SUM(I44:I46)</f>
        <v>0</v>
      </c>
      <c r="J47" s="209" t="str">
        <f t="shared" si="0"/>
        <v>-</v>
      </c>
      <c r="K47" s="210" t="str">
        <f t="shared" si="0"/>
        <v>-</v>
      </c>
      <c r="L47" s="65">
        <f>SUM(L44:L46)</f>
        <v>0</v>
      </c>
      <c r="M47" s="74">
        <f>SUM(M44:M46)</f>
        <v>0</v>
      </c>
      <c r="N47" s="78">
        <f t="shared" si="2"/>
        <v>-1</v>
      </c>
      <c r="O47" s="89">
        <f t="shared" si="2"/>
        <v>-1</v>
      </c>
      <c r="P47" s="65">
        <f>SUM(P44:P46)</f>
        <v>3</v>
      </c>
      <c r="Q47" s="74">
        <f>SUM(Q44:Q46)</f>
        <v>650</v>
      </c>
      <c r="R47" s="186"/>
    </row>
    <row r="48" spans="1:18" ht="16.5" customHeight="1">
      <c r="A48" s="268"/>
      <c r="B48" s="259"/>
      <c r="C48" s="261" t="s">
        <v>17</v>
      </c>
      <c r="D48" s="215" t="s">
        <v>18</v>
      </c>
      <c r="E48" s="70">
        <v>550</v>
      </c>
      <c r="F48" s="5"/>
      <c r="G48" s="6">
        <f>F48*E48</f>
        <v>0</v>
      </c>
      <c r="H48" s="7"/>
      <c r="I48" s="8">
        <f>H48*E48</f>
        <v>0</v>
      </c>
      <c r="J48" s="197" t="str">
        <f t="shared" si="0"/>
        <v>-</v>
      </c>
      <c r="K48" s="198" t="str">
        <f t="shared" si="0"/>
        <v>-</v>
      </c>
      <c r="L48" s="86"/>
      <c r="M48" s="83"/>
      <c r="N48" s="9">
        <f t="shared" si="2"/>
        <v>-1</v>
      </c>
      <c r="O48" s="90">
        <f t="shared" si="2"/>
        <v>-1</v>
      </c>
      <c r="P48" s="86">
        <v>1</v>
      </c>
      <c r="Q48" s="83">
        <v>720</v>
      </c>
      <c r="R48" s="186"/>
    </row>
    <row r="49" spans="1:18" ht="16.5" customHeight="1">
      <c r="A49" s="268"/>
      <c r="B49" s="259"/>
      <c r="C49" s="262"/>
      <c r="D49" s="214" t="s">
        <v>19</v>
      </c>
      <c r="E49" s="69">
        <v>675</v>
      </c>
      <c r="F49" s="12"/>
      <c r="G49" s="150"/>
      <c r="H49" s="10">
        <v>0</v>
      </c>
      <c r="I49" s="11">
        <f>H49*E49</f>
        <v>0</v>
      </c>
      <c r="J49" s="195" t="str">
        <f t="shared" si="0"/>
        <v>-</v>
      </c>
      <c r="K49" s="196" t="str">
        <f t="shared" si="0"/>
        <v>-</v>
      </c>
      <c r="L49" s="85"/>
      <c r="M49" s="82"/>
      <c r="N49" s="77">
        <f t="shared" si="2"/>
        <v>-1</v>
      </c>
      <c r="O49" s="88">
        <f t="shared" si="2"/>
        <v>-1</v>
      </c>
      <c r="P49" s="85">
        <v>1</v>
      </c>
      <c r="Q49" s="82">
        <v>880</v>
      </c>
      <c r="R49" s="186"/>
    </row>
    <row r="50" spans="1:18" ht="16.5" customHeight="1">
      <c r="A50" s="268"/>
      <c r="B50" s="259"/>
      <c r="C50" s="262"/>
      <c r="D50" s="214" t="s">
        <v>38</v>
      </c>
      <c r="E50" s="69">
        <v>810</v>
      </c>
      <c r="F50" s="12">
        <v>0</v>
      </c>
      <c r="G50" s="150">
        <f>F50*E50</f>
        <v>0</v>
      </c>
      <c r="H50" s="10">
        <v>0</v>
      </c>
      <c r="I50" s="11">
        <f>H50*E50</f>
        <v>0</v>
      </c>
      <c r="J50" s="195" t="str">
        <f t="shared" si="0"/>
        <v>-</v>
      </c>
      <c r="K50" s="196" t="str">
        <f t="shared" si="0"/>
        <v>-</v>
      </c>
      <c r="L50" s="85"/>
      <c r="M50" s="82"/>
      <c r="N50" s="77" t="str">
        <f t="shared" si="2"/>
        <v>-</v>
      </c>
      <c r="O50" s="88" t="str">
        <f t="shared" si="2"/>
        <v>-</v>
      </c>
      <c r="P50" s="85">
        <v>0</v>
      </c>
      <c r="Q50" s="82">
        <v>0</v>
      </c>
      <c r="R50" s="186"/>
    </row>
    <row r="51" spans="1:18" ht="16.5" customHeight="1">
      <c r="A51" s="268"/>
      <c r="B51" s="259"/>
      <c r="C51" s="263"/>
      <c r="D51" s="250" t="s">
        <v>16</v>
      </c>
      <c r="E51" s="251"/>
      <c r="F51" s="65">
        <f>SUM(F48:F50)</f>
        <v>0</v>
      </c>
      <c r="G51" s="151">
        <f>SUM(G48:G50)</f>
        <v>0</v>
      </c>
      <c r="H51" s="164">
        <f>SUM(H48:H50)</f>
        <v>0</v>
      </c>
      <c r="I51" s="165">
        <f>SUM(I48:I50)</f>
        <v>0</v>
      </c>
      <c r="J51" s="209" t="str">
        <f t="shared" si="0"/>
        <v>-</v>
      </c>
      <c r="K51" s="210" t="str">
        <f t="shared" si="0"/>
        <v>-</v>
      </c>
      <c r="L51" s="65">
        <f>SUM(L48:L50)</f>
        <v>0</v>
      </c>
      <c r="M51" s="74">
        <f>SUM(M48:M50)</f>
        <v>0</v>
      </c>
      <c r="N51" s="78">
        <f t="shared" si="2"/>
        <v>-1</v>
      </c>
      <c r="O51" s="89">
        <f t="shared" si="2"/>
        <v>-1</v>
      </c>
      <c r="P51" s="65">
        <f>SUM(P48:P50)</f>
        <v>2</v>
      </c>
      <c r="Q51" s="74">
        <f>SUM(Q48:Q50)</f>
        <v>1600</v>
      </c>
      <c r="R51" s="186"/>
    </row>
    <row r="52" spans="1:18" ht="16.5" customHeight="1">
      <c r="A52" s="268"/>
      <c r="B52" s="260"/>
      <c r="C52" s="270" t="s">
        <v>20</v>
      </c>
      <c r="D52" s="271"/>
      <c r="E52" s="272"/>
      <c r="F52" s="102">
        <f>SUM(F47,F51)</f>
        <v>0</v>
      </c>
      <c r="G52" s="159">
        <f>SUM(G47,G51)</f>
        <v>0</v>
      </c>
      <c r="H52" s="175">
        <f>H51+H47</f>
        <v>0</v>
      </c>
      <c r="I52" s="176">
        <f>I51+I47</f>
        <v>0</v>
      </c>
      <c r="J52" s="211" t="str">
        <f t="shared" si="0"/>
        <v>-</v>
      </c>
      <c r="K52" s="212" t="str">
        <f t="shared" si="0"/>
        <v>-</v>
      </c>
      <c r="L52" s="102">
        <f>L51+L47</f>
        <v>0</v>
      </c>
      <c r="M52" s="119">
        <f>M51+M47</f>
        <v>0</v>
      </c>
      <c r="N52" s="122">
        <f t="shared" si="2"/>
        <v>-1</v>
      </c>
      <c r="O52" s="126">
        <f t="shared" si="2"/>
        <v>-1</v>
      </c>
      <c r="P52" s="102">
        <f>P51+P47</f>
        <v>5</v>
      </c>
      <c r="Q52" s="119">
        <f>Q51+Q47</f>
        <v>2250</v>
      </c>
      <c r="R52" s="186"/>
    </row>
    <row r="53" spans="1:18" ht="16.5" customHeight="1">
      <c r="A53" s="268"/>
      <c r="B53" s="258" t="s">
        <v>21</v>
      </c>
      <c r="C53" s="252" t="s">
        <v>12</v>
      </c>
      <c r="D53" s="215" t="s">
        <v>13</v>
      </c>
      <c r="E53" s="70">
        <v>190</v>
      </c>
      <c r="F53" s="5">
        <v>0</v>
      </c>
      <c r="G53" s="6">
        <f>F53*E53</f>
        <v>0</v>
      </c>
      <c r="H53" s="7">
        <v>0</v>
      </c>
      <c r="I53" s="8">
        <f>H53*E53</f>
        <v>0</v>
      </c>
      <c r="J53" s="197" t="str">
        <f t="shared" si="0"/>
        <v>-</v>
      </c>
      <c r="K53" s="198" t="str">
        <f t="shared" si="0"/>
        <v>-</v>
      </c>
      <c r="L53" s="86"/>
      <c r="M53" s="83"/>
      <c r="N53" s="9" t="str">
        <f t="shared" si="2"/>
        <v>-</v>
      </c>
      <c r="O53" s="90" t="str">
        <f t="shared" si="2"/>
        <v>-</v>
      </c>
      <c r="P53" s="86">
        <v>0</v>
      </c>
      <c r="Q53" s="83">
        <v>0</v>
      </c>
      <c r="R53" s="188"/>
    </row>
    <row r="54" spans="1:18" ht="16.5" customHeight="1">
      <c r="A54" s="268"/>
      <c r="B54" s="259"/>
      <c r="C54" s="253"/>
      <c r="D54" s="214" t="s">
        <v>15</v>
      </c>
      <c r="E54" s="69">
        <v>120</v>
      </c>
      <c r="F54" s="12"/>
      <c r="G54" s="150"/>
      <c r="H54" s="10">
        <v>0</v>
      </c>
      <c r="I54" s="11">
        <f>H54*E54</f>
        <v>0</v>
      </c>
      <c r="J54" s="195" t="str">
        <f t="shared" si="0"/>
        <v>-</v>
      </c>
      <c r="K54" s="196" t="str">
        <f t="shared" si="0"/>
        <v>-</v>
      </c>
      <c r="L54" s="85"/>
      <c r="M54" s="82"/>
      <c r="N54" s="77" t="str">
        <f t="shared" si="2"/>
        <v>-</v>
      </c>
      <c r="O54" s="88" t="str">
        <f t="shared" si="2"/>
        <v>-</v>
      </c>
      <c r="P54" s="85">
        <v>0</v>
      </c>
      <c r="Q54" s="82">
        <v>0</v>
      </c>
      <c r="R54" s="188"/>
    </row>
    <row r="55" spans="1:18" ht="16.5" customHeight="1">
      <c r="A55" s="268"/>
      <c r="B55" s="259"/>
      <c r="C55" s="253"/>
      <c r="D55" s="214" t="s">
        <v>37</v>
      </c>
      <c r="E55" s="69">
        <v>300</v>
      </c>
      <c r="F55" s="12">
        <v>0</v>
      </c>
      <c r="G55" s="150">
        <f>F55*E55</f>
        <v>0</v>
      </c>
      <c r="H55" s="10">
        <v>0</v>
      </c>
      <c r="I55" s="11">
        <f>H55*E55</f>
        <v>0</v>
      </c>
      <c r="J55" s="195" t="str">
        <f t="shared" si="0"/>
        <v>-</v>
      </c>
      <c r="K55" s="196" t="str">
        <f t="shared" si="0"/>
        <v>-</v>
      </c>
      <c r="L55" s="85"/>
      <c r="M55" s="82"/>
      <c r="N55" s="77" t="str">
        <f t="shared" si="2"/>
        <v>-</v>
      </c>
      <c r="O55" s="88" t="str">
        <f t="shared" si="2"/>
        <v>-</v>
      </c>
      <c r="P55" s="85">
        <v>0</v>
      </c>
      <c r="Q55" s="82">
        <v>0</v>
      </c>
      <c r="R55" s="188"/>
    </row>
    <row r="56" spans="1:18" ht="16.5" customHeight="1">
      <c r="A56" s="268"/>
      <c r="B56" s="259"/>
      <c r="C56" s="254"/>
      <c r="D56" s="250" t="s">
        <v>16</v>
      </c>
      <c r="E56" s="251"/>
      <c r="F56" s="65">
        <f>SUM(F53:F55)</f>
        <v>0</v>
      </c>
      <c r="G56" s="151">
        <f>SUM(G53:G55)</f>
        <v>0</v>
      </c>
      <c r="H56" s="164">
        <f>SUM(H53:H55)</f>
        <v>0</v>
      </c>
      <c r="I56" s="165">
        <f>SUM(I53:I55)</f>
        <v>0</v>
      </c>
      <c r="J56" s="209" t="str">
        <f t="shared" si="0"/>
        <v>-</v>
      </c>
      <c r="K56" s="210" t="str">
        <f t="shared" si="0"/>
        <v>-</v>
      </c>
      <c r="L56" s="65">
        <f>SUM(L53:L55)</f>
        <v>0</v>
      </c>
      <c r="M56" s="74">
        <f>SUM(M53:M55)</f>
        <v>0</v>
      </c>
      <c r="N56" s="78" t="str">
        <f t="shared" si="2"/>
        <v>-</v>
      </c>
      <c r="O56" s="89" t="str">
        <f t="shared" si="2"/>
        <v>-</v>
      </c>
      <c r="P56" s="65">
        <f>SUM(P53:P55)</f>
        <v>0</v>
      </c>
      <c r="Q56" s="74">
        <f>SUM(Q53:Q55)</f>
        <v>0</v>
      </c>
      <c r="R56" s="188"/>
    </row>
    <row r="57" spans="1:18" ht="16.5" customHeight="1">
      <c r="A57" s="268"/>
      <c r="B57" s="259"/>
      <c r="C57" s="252" t="s">
        <v>17</v>
      </c>
      <c r="D57" s="215" t="s">
        <v>18</v>
      </c>
      <c r="E57" s="70">
        <v>440</v>
      </c>
      <c r="F57" s="5">
        <v>0</v>
      </c>
      <c r="G57" s="6">
        <f>F57*E57</f>
        <v>0</v>
      </c>
      <c r="H57" s="7">
        <v>0</v>
      </c>
      <c r="I57" s="8">
        <f>H57*E57</f>
        <v>0</v>
      </c>
      <c r="J57" s="197" t="str">
        <f t="shared" si="0"/>
        <v>-</v>
      </c>
      <c r="K57" s="198" t="str">
        <f t="shared" si="0"/>
        <v>-</v>
      </c>
      <c r="L57" s="86"/>
      <c r="M57" s="83"/>
      <c r="N57" s="9" t="str">
        <f t="shared" si="2"/>
        <v>-</v>
      </c>
      <c r="O57" s="90" t="str">
        <f t="shared" si="2"/>
        <v>-</v>
      </c>
      <c r="P57" s="86">
        <v>0</v>
      </c>
      <c r="Q57" s="83">
        <v>0</v>
      </c>
      <c r="R57" s="188"/>
    </row>
    <row r="58" spans="1:18" ht="16.5" customHeight="1">
      <c r="A58" s="268"/>
      <c r="B58" s="259"/>
      <c r="C58" s="253"/>
      <c r="D58" s="214" t="s">
        <v>19</v>
      </c>
      <c r="E58" s="69">
        <v>520</v>
      </c>
      <c r="F58" s="12">
        <v>0</v>
      </c>
      <c r="G58" s="150">
        <v>0</v>
      </c>
      <c r="H58" s="10">
        <v>0</v>
      </c>
      <c r="I58" s="11">
        <f>H58*E58</f>
        <v>0</v>
      </c>
      <c r="J58" s="195" t="str">
        <f t="shared" si="0"/>
        <v>-</v>
      </c>
      <c r="K58" s="196" t="str">
        <f t="shared" si="0"/>
        <v>-</v>
      </c>
      <c r="L58" s="85"/>
      <c r="M58" s="82"/>
      <c r="N58" s="77" t="str">
        <f t="shared" si="2"/>
        <v>-</v>
      </c>
      <c r="O58" s="88" t="str">
        <f t="shared" si="2"/>
        <v>-</v>
      </c>
      <c r="P58" s="85">
        <v>0</v>
      </c>
      <c r="Q58" s="82">
        <v>0</v>
      </c>
      <c r="R58" s="188"/>
    </row>
    <row r="59" spans="1:18" ht="16.5" customHeight="1">
      <c r="A59" s="268"/>
      <c r="B59" s="259"/>
      <c r="C59" s="253"/>
      <c r="D59" s="214" t="s">
        <v>38</v>
      </c>
      <c r="E59" s="69">
        <v>600</v>
      </c>
      <c r="F59" s="12">
        <v>0</v>
      </c>
      <c r="G59" s="150">
        <f>F59*E59</f>
        <v>0</v>
      </c>
      <c r="H59" s="10">
        <v>0</v>
      </c>
      <c r="I59" s="11">
        <f>H59*E59</f>
        <v>0</v>
      </c>
      <c r="J59" s="195" t="str">
        <f t="shared" si="0"/>
        <v>-</v>
      </c>
      <c r="K59" s="196" t="str">
        <f t="shared" si="0"/>
        <v>-</v>
      </c>
      <c r="L59" s="85"/>
      <c r="M59" s="82"/>
      <c r="N59" s="77" t="str">
        <f t="shared" si="2"/>
        <v>-</v>
      </c>
      <c r="O59" s="88" t="str">
        <f t="shared" si="2"/>
        <v>-</v>
      </c>
      <c r="P59" s="85">
        <v>0</v>
      </c>
      <c r="Q59" s="82">
        <v>0</v>
      </c>
      <c r="R59" s="188"/>
    </row>
    <row r="60" spans="1:18" ht="16.5" customHeight="1">
      <c r="A60" s="268"/>
      <c r="B60" s="259"/>
      <c r="C60" s="254"/>
      <c r="D60" s="250" t="s">
        <v>16</v>
      </c>
      <c r="E60" s="251"/>
      <c r="F60" s="65">
        <f>SUM(F57:F59)</f>
        <v>0</v>
      </c>
      <c r="G60" s="151">
        <f>SUM(G57:G59)</f>
        <v>0</v>
      </c>
      <c r="H60" s="164">
        <f>SUM(H57:H59)</f>
        <v>0</v>
      </c>
      <c r="I60" s="165">
        <f>SUM(I57:I59)</f>
        <v>0</v>
      </c>
      <c r="J60" s="209" t="str">
        <f t="shared" si="0"/>
        <v>-</v>
      </c>
      <c r="K60" s="210" t="str">
        <f t="shared" si="0"/>
        <v>-</v>
      </c>
      <c r="L60" s="65">
        <f>SUM(L57:L59)</f>
        <v>0</v>
      </c>
      <c r="M60" s="74">
        <f>SUM(M57:M59)</f>
        <v>0</v>
      </c>
      <c r="N60" s="78" t="str">
        <f t="shared" si="2"/>
        <v>-</v>
      </c>
      <c r="O60" s="89" t="str">
        <f t="shared" si="2"/>
        <v>-</v>
      </c>
      <c r="P60" s="65">
        <f>SUM(P57:P59)</f>
        <v>0</v>
      </c>
      <c r="Q60" s="74">
        <f>SUM(Q57:Q59)</f>
        <v>0</v>
      </c>
      <c r="R60" s="188"/>
    </row>
    <row r="61" spans="1:18" ht="16.5" customHeight="1">
      <c r="A61" s="268"/>
      <c r="B61" s="260"/>
      <c r="C61" s="255" t="s">
        <v>20</v>
      </c>
      <c r="D61" s="256"/>
      <c r="E61" s="257"/>
      <c r="F61" s="102">
        <f>SUM(F56,F60)</f>
        <v>0</v>
      </c>
      <c r="G61" s="159">
        <f>SUM(G56,G60)</f>
        <v>0</v>
      </c>
      <c r="H61" s="175">
        <f>H60+H56</f>
        <v>0</v>
      </c>
      <c r="I61" s="176">
        <f>I60+I56</f>
        <v>0</v>
      </c>
      <c r="J61" s="211" t="str">
        <f t="shared" si="0"/>
        <v>-</v>
      </c>
      <c r="K61" s="212" t="str">
        <f t="shared" si="0"/>
        <v>-</v>
      </c>
      <c r="L61" s="102">
        <f>L60+L56</f>
        <v>0</v>
      </c>
      <c r="M61" s="119">
        <f>M60+M56</f>
        <v>0</v>
      </c>
      <c r="N61" s="122" t="str">
        <f t="shared" si="2"/>
        <v>-</v>
      </c>
      <c r="O61" s="126" t="str">
        <f t="shared" si="2"/>
        <v>-</v>
      </c>
      <c r="P61" s="102">
        <f>SUM(P56,P60)</f>
        <v>0</v>
      </c>
      <c r="Q61" s="119">
        <f>SUM(Q56,Q60)</f>
        <v>0</v>
      </c>
      <c r="R61" s="188"/>
    </row>
    <row r="62" spans="1:18" ht="16.5" customHeight="1">
      <c r="A62" s="268"/>
      <c r="B62" s="258" t="s">
        <v>26</v>
      </c>
      <c r="C62" s="261" t="s">
        <v>12</v>
      </c>
      <c r="D62" s="215" t="s">
        <v>13</v>
      </c>
      <c r="E62" s="70">
        <v>190</v>
      </c>
      <c r="F62" s="5">
        <v>0</v>
      </c>
      <c r="G62" s="6">
        <f>F62*E62</f>
        <v>0</v>
      </c>
      <c r="H62" s="7">
        <v>0</v>
      </c>
      <c r="I62" s="8">
        <f>H62*E62</f>
        <v>0</v>
      </c>
      <c r="J62" s="197" t="str">
        <f t="shared" si="0"/>
        <v>-</v>
      </c>
      <c r="K62" s="198" t="str">
        <f t="shared" si="0"/>
        <v>-</v>
      </c>
      <c r="L62" s="86"/>
      <c r="M62" s="83"/>
      <c r="N62" s="9">
        <f t="shared" si="2"/>
        <v>-1</v>
      </c>
      <c r="O62" s="90">
        <f t="shared" si="2"/>
        <v>-1</v>
      </c>
      <c r="P62" s="86">
        <v>5</v>
      </c>
      <c r="Q62" s="83">
        <v>1020</v>
      </c>
      <c r="R62" s="188"/>
    </row>
    <row r="63" spans="1:18" ht="16.5" customHeight="1">
      <c r="A63" s="268"/>
      <c r="B63" s="259"/>
      <c r="C63" s="262"/>
      <c r="D63" s="214" t="s">
        <v>15</v>
      </c>
      <c r="E63" s="69">
        <v>120</v>
      </c>
      <c r="F63" s="12">
        <v>0</v>
      </c>
      <c r="G63" s="150">
        <v>0</v>
      </c>
      <c r="H63" s="10">
        <v>0</v>
      </c>
      <c r="I63" s="11">
        <f>H63*E63</f>
        <v>0</v>
      </c>
      <c r="J63" s="195" t="str">
        <f t="shared" si="0"/>
        <v>-</v>
      </c>
      <c r="K63" s="196" t="str">
        <f t="shared" si="0"/>
        <v>-</v>
      </c>
      <c r="L63" s="85"/>
      <c r="M63" s="82"/>
      <c r="N63" s="77" t="str">
        <f t="shared" si="2"/>
        <v>-</v>
      </c>
      <c r="O63" s="88" t="str">
        <f t="shared" si="2"/>
        <v>-</v>
      </c>
      <c r="P63" s="85">
        <v>0</v>
      </c>
      <c r="Q63" s="82">
        <v>0</v>
      </c>
      <c r="R63" s="188"/>
    </row>
    <row r="64" spans="1:18" ht="16.5" customHeight="1">
      <c r="A64" s="268"/>
      <c r="B64" s="259"/>
      <c r="C64" s="262"/>
      <c r="D64" s="214" t="s">
        <v>37</v>
      </c>
      <c r="E64" s="69">
        <v>300</v>
      </c>
      <c r="F64" s="12">
        <v>0</v>
      </c>
      <c r="G64" s="150">
        <f>F64*E64</f>
        <v>0</v>
      </c>
      <c r="H64" s="10">
        <v>0</v>
      </c>
      <c r="I64" s="11">
        <f>H64*E64</f>
        <v>0</v>
      </c>
      <c r="J64" s="195" t="str">
        <f t="shared" si="0"/>
        <v>-</v>
      </c>
      <c r="K64" s="196" t="str">
        <f t="shared" si="0"/>
        <v>-</v>
      </c>
      <c r="L64" s="85"/>
      <c r="M64" s="82"/>
      <c r="N64" s="77">
        <f t="shared" si="2"/>
        <v>-1</v>
      </c>
      <c r="O64" s="88">
        <f t="shared" si="2"/>
        <v>-1</v>
      </c>
      <c r="P64" s="85">
        <v>5</v>
      </c>
      <c r="Q64" s="82">
        <v>1800</v>
      </c>
      <c r="R64" s="188"/>
    </row>
    <row r="65" spans="1:18" ht="16.5" customHeight="1">
      <c r="A65" s="268"/>
      <c r="B65" s="259"/>
      <c r="C65" s="263"/>
      <c r="D65" s="250" t="s">
        <v>16</v>
      </c>
      <c r="E65" s="251"/>
      <c r="F65" s="65">
        <f>SUM(F62:F64)</f>
        <v>0</v>
      </c>
      <c r="G65" s="151">
        <f>SUM(G62:G64)</f>
        <v>0</v>
      </c>
      <c r="H65" s="164">
        <f>SUM(H62:H64)</f>
        <v>0</v>
      </c>
      <c r="I65" s="165">
        <f>SUM(I62:I64)</f>
        <v>0</v>
      </c>
      <c r="J65" s="209" t="str">
        <f t="shared" si="0"/>
        <v>-</v>
      </c>
      <c r="K65" s="210" t="str">
        <f t="shared" si="0"/>
        <v>-</v>
      </c>
      <c r="L65" s="65">
        <f>SUM(L62:L64)</f>
        <v>0</v>
      </c>
      <c r="M65" s="74">
        <f>SUM(M62:M64)</f>
        <v>0</v>
      </c>
      <c r="N65" s="78">
        <f t="shared" si="2"/>
        <v>-1</v>
      </c>
      <c r="O65" s="89">
        <f t="shared" si="2"/>
        <v>-1</v>
      </c>
      <c r="P65" s="65">
        <f>SUM(P62:P64)</f>
        <v>10</v>
      </c>
      <c r="Q65" s="74">
        <f>SUM(Q62:Q64)</f>
        <v>2820</v>
      </c>
      <c r="R65" s="188"/>
    </row>
    <row r="66" spans="1:18" ht="16.5" customHeight="1">
      <c r="A66" s="268"/>
      <c r="B66" s="259"/>
      <c r="C66" s="261" t="s">
        <v>17</v>
      </c>
      <c r="D66" s="215" t="s">
        <v>18</v>
      </c>
      <c r="E66" s="70">
        <v>440</v>
      </c>
      <c r="F66" s="5">
        <v>0</v>
      </c>
      <c r="G66" s="6">
        <f>F66*E66</f>
        <v>0</v>
      </c>
      <c r="H66" s="7">
        <v>0</v>
      </c>
      <c r="I66" s="8">
        <f>H66*E66</f>
        <v>0</v>
      </c>
      <c r="J66" s="197" t="str">
        <f t="shared" si="0"/>
        <v>-</v>
      </c>
      <c r="K66" s="198" t="str">
        <f t="shared" si="0"/>
        <v>-</v>
      </c>
      <c r="L66" s="86"/>
      <c r="M66" s="83"/>
      <c r="N66" s="9">
        <f t="shared" si="2"/>
        <v>-1</v>
      </c>
      <c r="O66" s="90">
        <f t="shared" si="2"/>
        <v>-1</v>
      </c>
      <c r="P66" s="86">
        <v>3</v>
      </c>
      <c r="Q66" s="83">
        <v>1770</v>
      </c>
      <c r="R66" s="188"/>
    </row>
    <row r="67" spans="1:18" ht="16.5" customHeight="1">
      <c r="A67" s="268"/>
      <c r="B67" s="259"/>
      <c r="C67" s="262"/>
      <c r="D67" s="214" t="s">
        <v>19</v>
      </c>
      <c r="E67" s="69">
        <v>520</v>
      </c>
      <c r="F67" s="12">
        <v>0</v>
      </c>
      <c r="G67" s="150">
        <v>0</v>
      </c>
      <c r="H67" s="10">
        <v>0</v>
      </c>
      <c r="I67" s="11">
        <f>H67*E67</f>
        <v>0</v>
      </c>
      <c r="J67" s="195" t="str">
        <f t="shared" si="0"/>
        <v>-</v>
      </c>
      <c r="K67" s="196" t="str">
        <f t="shared" si="0"/>
        <v>-</v>
      </c>
      <c r="L67" s="85"/>
      <c r="M67" s="82"/>
      <c r="N67" s="77">
        <f t="shared" si="2"/>
        <v>-1</v>
      </c>
      <c r="O67" s="88">
        <f t="shared" si="2"/>
        <v>-1</v>
      </c>
      <c r="P67" s="85">
        <v>3</v>
      </c>
      <c r="Q67" s="82">
        <v>2160</v>
      </c>
      <c r="R67" s="188"/>
    </row>
    <row r="68" spans="1:18" ht="16.5" customHeight="1">
      <c r="A68" s="268"/>
      <c r="B68" s="259"/>
      <c r="C68" s="262"/>
      <c r="D68" s="214" t="s">
        <v>38</v>
      </c>
      <c r="E68" s="69">
        <v>600</v>
      </c>
      <c r="F68" s="12">
        <v>0</v>
      </c>
      <c r="G68" s="150">
        <f>F68*E68</f>
        <v>0</v>
      </c>
      <c r="H68" s="10">
        <v>0</v>
      </c>
      <c r="I68" s="11">
        <f>H68*E68</f>
        <v>0</v>
      </c>
      <c r="J68" s="195" t="str">
        <f t="shared" si="0"/>
        <v>-</v>
      </c>
      <c r="K68" s="196" t="str">
        <f t="shared" si="0"/>
        <v>-</v>
      </c>
      <c r="L68" s="85"/>
      <c r="M68" s="82"/>
      <c r="N68" s="77" t="str">
        <f t="shared" si="2"/>
        <v>-</v>
      </c>
      <c r="O68" s="88" t="str">
        <f t="shared" si="2"/>
        <v>-</v>
      </c>
      <c r="P68" s="85">
        <v>0</v>
      </c>
      <c r="Q68" s="82">
        <v>0</v>
      </c>
      <c r="R68" s="188"/>
    </row>
    <row r="69" spans="1:18" ht="16.5" customHeight="1">
      <c r="A69" s="268"/>
      <c r="B69" s="259"/>
      <c r="C69" s="263"/>
      <c r="D69" s="250" t="s">
        <v>16</v>
      </c>
      <c r="E69" s="251"/>
      <c r="F69" s="65">
        <f>SUM(F66:F68)</f>
        <v>0</v>
      </c>
      <c r="G69" s="151">
        <f>SUM(G66:G68)</f>
        <v>0</v>
      </c>
      <c r="H69" s="164">
        <f>SUM(H66:H68)</f>
        <v>0</v>
      </c>
      <c r="I69" s="165">
        <f>SUM(I66:I68)</f>
        <v>0</v>
      </c>
      <c r="J69" s="209" t="str">
        <f t="shared" si="0"/>
        <v>-</v>
      </c>
      <c r="K69" s="210" t="str">
        <f t="shared" si="0"/>
        <v>-</v>
      </c>
      <c r="L69" s="65">
        <f>SUM(L66:L68)</f>
        <v>0</v>
      </c>
      <c r="M69" s="74">
        <f>SUM(M66:M68)</f>
        <v>0</v>
      </c>
      <c r="N69" s="78">
        <f t="shared" si="2"/>
        <v>-1</v>
      </c>
      <c r="O69" s="89">
        <f t="shared" si="2"/>
        <v>-1</v>
      </c>
      <c r="P69" s="65">
        <f>SUM(P66:P68)</f>
        <v>6</v>
      </c>
      <c r="Q69" s="74">
        <f>SUM(Q66:Q68)</f>
        <v>3930</v>
      </c>
      <c r="R69" s="188"/>
    </row>
    <row r="70" spans="1:18" ht="16.5" customHeight="1">
      <c r="A70" s="269"/>
      <c r="B70" s="260"/>
      <c r="C70" s="255" t="s">
        <v>20</v>
      </c>
      <c r="D70" s="256"/>
      <c r="E70" s="257"/>
      <c r="F70" s="102">
        <f>SUM(F65,F69)</f>
        <v>0</v>
      </c>
      <c r="G70" s="159">
        <f>SUM(G65,G69)</f>
        <v>0</v>
      </c>
      <c r="H70" s="175">
        <f>H69+H65</f>
        <v>0</v>
      </c>
      <c r="I70" s="176">
        <f>I69+I65</f>
        <v>0</v>
      </c>
      <c r="J70" s="211" t="str">
        <f t="shared" si="0"/>
        <v>-</v>
      </c>
      <c r="K70" s="212" t="str">
        <f t="shared" si="0"/>
        <v>-</v>
      </c>
      <c r="L70" s="102">
        <f>L69+L65</f>
        <v>0</v>
      </c>
      <c r="M70" s="119">
        <f>M69+M65</f>
        <v>0</v>
      </c>
      <c r="N70" s="122">
        <f t="shared" si="2"/>
        <v>-1</v>
      </c>
      <c r="O70" s="126">
        <f t="shared" si="2"/>
        <v>-1</v>
      </c>
      <c r="P70" s="102">
        <f>P69+P65</f>
        <v>16</v>
      </c>
      <c r="Q70" s="119">
        <f>Q69+Q65</f>
        <v>6750</v>
      </c>
      <c r="R70" s="188"/>
    </row>
    <row r="71" spans="1:18" ht="16.5" customHeight="1">
      <c r="A71" s="239" t="s">
        <v>49</v>
      </c>
      <c r="B71" s="240"/>
      <c r="C71" s="240"/>
      <c r="D71" s="240"/>
      <c r="E71" s="241"/>
      <c r="F71" s="97">
        <f>F70+F61+F52</f>
        <v>0</v>
      </c>
      <c r="G71" s="158">
        <f>G70+G61+G52</f>
        <v>0</v>
      </c>
      <c r="H71" s="173">
        <f>H70+H61+H52</f>
        <v>0</v>
      </c>
      <c r="I71" s="174">
        <f>I70+I61+I52</f>
        <v>0</v>
      </c>
      <c r="J71" s="207" t="str">
        <f t="shared" ref="J71:K83" si="3">IFERROR(H71/L71-1,"-")</f>
        <v>-</v>
      </c>
      <c r="K71" s="208" t="str">
        <f t="shared" si="3"/>
        <v>-</v>
      </c>
      <c r="L71" s="97">
        <f>L70+L61+L52</f>
        <v>0</v>
      </c>
      <c r="M71" s="118">
        <f>M70+M61+M52</f>
        <v>0</v>
      </c>
      <c r="N71" s="121">
        <f t="shared" ref="N71:O83" si="4">IFERROR(H71/P71-1,"-")</f>
        <v>-1</v>
      </c>
      <c r="O71" s="125">
        <f t="shared" si="4"/>
        <v>-1</v>
      </c>
      <c r="P71" s="97">
        <f>P70+P61+P52</f>
        <v>21</v>
      </c>
      <c r="Q71" s="118">
        <f>Q70+Q61+Q52</f>
        <v>9000</v>
      </c>
      <c r="R71" s="188"/>
    </row>
    <row r="72" spans="1:18" ht="16.5" customHeight="1">
      <c r="A72" s="242" t="s">
        <v>51</v>
      </c>
      <c r="B72" s="242" t="s">
        <v>50</v>
      </c>
      <c r="C72" s="245" t="s">
        <v>12</v>
      </c>
      <c r="D72" s="219" t="s">
        <v>52</v>
      </c>
      <c r="E72" s="109">
        <v>190</v>
      </c>
      <c r="F72" s="98">
        <v>1</v>
      </c>
      <c r="G72" s="154">
        <f>F72*E72</f>
        <v>190</v>
      </c>
      <c r="H72" s="17">
        <v>2</v>
      </c>
      <c r="I72" s="18">
        <f>H72*E72</f>
        <v>380</v>
      </c>
      <c r="J72" s="197" t="str">
        <f t="shared" si="3"/>
        <v>-</v>
      </c>
      <c r="K72" s="198" t="str">
        <f t="shared" si="3"/>
        <v>-</v>
      </c>
      <c r="L72" s="98"/>
      <c r="M72" s="114"/>
      <c r="N72" s="19">
        <f t="shared" si="4"/>
        <v>-0.8666666666666667</v>
      </c>
      <c r="O72" s="87">
        <f t="shared" si="4"/>
        <v>-0.85384615384615381</v>
      </c>
      <c r="P72" s="98">
        <v>15</v>
      </c>
      <c r="Q72" s="114">
        <f>1690+910</f>
        <v>2600</v>
      </c>
      <c r="R72" s="231"/>
    </row>
    <row r="73" spans="1:18" ht="16.5" customHeight="1">
      <c r="A73" s="243"/>
      <c r="B73" s="243"/>
      <c r="C73" s="246"/>
      <c r="D73" s="220" t="s">
        <v>53</v>
      </c>
      <c r="E73" s="110">
        <v>120</v>
      </c>
      <c r="F73" s="101">
        <v>0</v>
      </c>
      <c r="G73" s="157">
        <f>F73*E73</f>
        <v>0</v>
      </c>
      <c r="H73" s="20">
        <v>0</v>
      </c>
      <c r="I73" s="172">
        <f>H73*E73</f>
        <v>0</v>
      </c>
      <c r="J73" s="195" t="str">
        <f t="shared" si="3"/>
        <v>-</v>
      </c>
      <c r="K73" s="196" t="str">
        <f t="shared" si="3"/>
        <v>-</v>
      </c>
      <c r="L73" s="101"/>
      <c r="M73" s="117"/>
      <c r="N73" s="77" t="str">
        <f t="shared" si="4"/>
        <v>-</v>
      </c>
      <c r="O73" s="88" t="str">
        <f t="shared" si="4"/>
        <v>-</v>
      </c>
      <c r="P73" s="101">
        <v>0</v>
      </c>
      <c r="Q73" s="117">
        <v>0</v>
      </c>
      <c r="R73" s="189"/>
    </row>
    <row r="74" spans="1:18" ht="16.5" customHeight="1">
      <c r="A74" s="243"/>
      <c r="B74" s="243"/>
      <c r="C74" s="246"/>
      <c r="D74" s="220" t="s">
        <v>37</v>
      </c>
      <c r="E74" s="110">
        <v>300</v>
      </c>
      <c r="F74" s="101">
        <v>1</v>
      </c>
      <c r="G74" s="157">
        <f>F74*E74</f>
        <v>300</v>
      </c>
      <c r="H74" s="20">
        <v>4</v>
      </c>
      <c r="I74" s="172">
        <f>H74*E74</f>
        <v>1200</v>
      </c>
      <c r="J74" s="195" t="str">
        <f t="shared" si="3"/>
        <v>-</v>
      </c>
      <c r="K74" s="196" t="str">
        <f t="shared" si="3"/>
        <v>-</v>
      </c>
      <c r="L74" s="101"/>
      <c r="M74" s="117"/>
      <c r="N74" s="77">
        <f t="shared" si="4"/>
        <v>3</v>
      </c>
      <c r="O74" s="88">
        <f t="shared" si="4"/>
        <v>2.870967741935484</v>
      </c>
      <c r="P74" s="101">
        <v>1</v>
      </c>
      <c r="Q74" s="117">
        <v>310</v>
      </c>
      <c r="R74" s="189"/>
    </row>
    <row r="75" spans="1:18" ht="16.5" customHeight="1">
      <c r="A75" s="243"/>
      <c r="B75" s="243"/>
      <c r="C75" s="247"/>
      <c r="D75" s="248" t="s">
        <v>16</v>
      </c>
      <c r="E75" s="249"/>
      <c r="F75" s="99">
        <f>SUM(F72:F74)</f>
        <v>2</v>
      </c>
      <c r="G75" s="155">
        <f>SUM(G72:G74)</f>
        <v>490</v>
      </c>
      <c r="H75" s="170">
        <f>SUM(H72:H74)</f>
        <v>6</v>
      </c>
      <c r="I75" s="171">
        <f>SUM(I72:I74)</f>
        <v>1580</v>
      </c>
      <c r="J75" s="209" t="str">
        <f t="shared" si="3"/>
        <v>-</v>
      </c>
      <c r="K75" s="210" t="str">
        <f t="shared" si="3"/>
        <v>-</v>
      </c>
      <c r="L75" s="99">
        <f>SUM(L72:L74)</f>
        <v>0</v>
      </c>
      <c r="M75" s="115">
        <f>SUM(M72:M74)</f>
        <v>0</v>
      </c>
      <c r="N75" s="78">
        <f t="shared" si="4"/>
        <v>-0.625</v>
      </c>
      <c r="O75" s="89">
        <f t="shared" si="4"/>
        <v>-0.45704467353951894</v>
      </c>
      <c r="P75" s="99">
        <f>SUM(P72:P74)</f>
        <v>16</v>
      </c>
      <c r="Q75" s="115">
        <f>SUM(Q72:Q74)</f>
        <v>2910</v>
      </c>
      <c r="R75" s="189"/>
    </row>
    <row r="76" spans="1:18" ht="16.5" customHeight="1">
      <c r="A76" s="243"/>
      <c r="B76" s="243"/>
      <c r="C76" s="245" t="s">
        <v>17</v>
      </c>
      <c r="D76" s="221" t="s">
        <v>18</v>
      </c>
      <c r="E76" s="111">
        <v>440</v>
      </c>
      <c r="F76" s="98">
        <v>13</v>
      </c>
      <c r="G76" s="154">
        <f>F76*E76</f>
        <v>5720</v>
      </c>
      <c r="H76" s="17">
        <v>33</v>
      </c>
      <c r="I76" s="18">
        <f>H76*E76</f>
        <v>14520</v>
      </c>
      <c r="J76" s="197" t="str">
        <f t="shared" si="3"/>
        <v>-</v>
      </c>
      <c r="K76" s="198" t="str">
        <f t="shared" si="3"/>
        <v>-</v>
      </c>
      <c r="L76" s="100"/>
      <c r="M76" s="116"/>
      <c r="N76" s="9">
        <f t="shared" si="4"/>
        <v>-0.2978723404255319</v>
      </c>
      <c r="O76" s="90">
        <f t="shared" si="4"/>
        <v>-0.31444759206798867</v>
      </c>
      <c r="P76" s="100">
        <f>33+4+1+9</f>
        <v>47</v>
      </c>
      <c r="Q76" s="116">
        <f>14520+1760+490+4410</f>
        <v>21180</v>
      </c>
      <c r="R76" s="189"/>
    </row>
    <row r="77" spans="1:18" ht="16.5" customHeight="1">
      <c r="A77" s="243"/>
      <c r="B77" s="243"/>
      <c r="C77" s="246"/>
      <c r="D77" s="220" t="s">
        <v>19</v>
      </c>
      <c r="E77" s="110">
        <v>520</v>
      </c>
      <c r="F77" s="101">
        <v>10</v>
      </c>
      <c r="G77" s="157">
        <f>F77*E77</f>
        <v>5200</v>
      </c>
      <c r="H77" s="20">
        <v>41</v>
      </c>
      <c r="I77" s="172">
        <f>H77*E77</f>
        <v>21320</v>
      </c>
      <c r="J77" s="195" t="str">
        <f t="shared" si="3"/>
        <v>-</v>
      </c>
      <c r="K77" s="196" t="str">
        <f t="shared" si="3"/>
        <v>-</v>
      </c>
      <c r="L77" s="101"/>
      <c r="M77" s="117"/>
      <c r="N77" s="77">
        <f t="shared" si="4"/>
        <v>2.4999999999999911E-2</v>
      </c>
      <c r="O77" s="88">
        <f t="shared" si="4"/>
        <v>1.0426540284360186E-2</v>
      </c>
      <c r="P77" s="101">
        <f>34+6</f>
        <v>40</v>
      </c>
      <c r="Q77" s="117">
        <f>17680+3420</f>
        <v>21100</v>
      </c>
      <c r="R77" s="189"/>
    </row>
    <row r="78" spans="1:18" ht="16.5" customHeight="1">
      <c r="A78" s="243"/>
      <c r="B78" s="243"/>
      <c r="C78" s="246"/>
      <c r="D78" s="220" t="s">
        <v>38</v>
      </c>
      <c r="E78" s="110">
        <v>600</v>
      </c>
      <c r="F78" s="101">
        <v>1</v>
      </c>
      <c r="G78" s="157">
        <f>F78*E78</f>
        <v>600</v>
      </c>
      <c r="H78" s="20">
        <v>5</v>
      </c>
      <c r="I78" s="172">
        <f>H78*E78</f>
        <v>3000</v>
      </c>
      <c r="J78" s="195" t="str">
        <f t="shared" si="3"/>
        <v>-</v>
      </c>
      <c r="K78" s="196" t="str">
        <f t="shared" si="3"/>
        <v>-</v>
      </c>
      <c r="L78" s="101"/>
      <c r="M78" s="117"/>
      <c r="N78" s="77" t="str">
        <f t="shared" si="4"/>
        <v>-</v>
      </c>
      <c r="O78" s="88" t="str">
        <f t="shared" si="4"/>
        <v>-</v>
      </c>
      <c r="P78" s="101">
        <v>0</v>
      </c>
      <c r="Q78" s="117">
        <v>0</v>
      </c>
      <c r="R78" s="189"/>
    </row>
    <row r="79" spans="1:18" ht="16.5" customHeight="1">
      <c r="A79" s="243"/>
      <c r="B79" s="243"/>
      <c r="C79" s="247"/>
      <c r="D79" s="248" t="s">
        <v>16</v>
      </c>
      <c r="E79" s="249"/>
      <c r="F79" s="99">
        <f>SUM(F76:F78)</f>
        <v>24</v>
      </c>
      <c r="G79" s="155">
        <f>SUM(G76:G78)</f>
        <v>11520</v>
      </c>
      <c r="H79" s="170">
        <f>SUM(H76:H78)</f>
        <v>79</v>
      </c>
      <c r="I79" s="171">
        <f>SUM(I76:I78)</f>
        <v>38840</v>
      </c>
      <c r="J79" s="209">
        <f t="shared" si="3"/>
        <v>0.75555555555555554</v>
      </c>
      <c r="K79" s="210">
        <f t="shared" si="3"/>
        <v>0.9478435305917754</v>
      </c>
      <c r="L79" s="99">
        <v>45</v>
      </c>
      <c r="M79" s="115">
        <v>19940</v>
      </c>
      <c r="N79" s="78">
        <f t="shared" si="4"/>
        <v>-9.1954022988505746E-2</v>
      </c>
      <c r="O79" s="89">
        <f t="shared" si="4"/>
        <v>-8.1362346263008534E-2</v>
      </c>
      <c r="P79" s="99">
        <f>SUM(P76:P78)</f>
        <v>87</v>
      </c>
      <c r="Q79" s="115">
        <f>SUM(Q76:Q78)</f>
        <v>42280</v>
      </c>
      <c r="R79" s="189"/>
    </row>
    <row r="80" spans="1:18" ht="16.5" customHeight="1">
      <c r="A80" s="243"/>
      <c r="B80" s="243"/>
      <c r="C80" s="245" t="s">
        <v>54</v>
      </c>
      <c r="D80" s="221" t="s">
        <v>19</v>
      </c>
      <c r="E80" s="111">
        <v>990</v>
      </c>
      <c r="F80" s="100"/>
      <c r="G80" s="156"/>
      <c r="H80" s="21"/>
      <c r="I80" s="28"/>
      <c r="J80" s="197" t="str">
        <f t="shared" si="3"/>
        <v>-</v>
      </c>
      <c r="K80" s="198" t="str">
        <f t="shared" si="3"/>
        <v>-</v>
      </c>
      <c r="L80" s="100"/>
      <c r="M80" s="116"/>
      <c r="N80" s="9" t="str">
        <f t="shared" si="4"/>
        <v>-</v>
      </c>
      <c r="O80" s="90" t="str">
        <f t="shared" si="4"/>
        <v>-</v>
      </c>
      <c r="P80" s="100">
        <v>0</v>
      </c>
      <c r="Q80" s="116">
        <v>0</v>
      </c>
      <c r="R80" s="189"/>
    </row>
    <row r="81" spans="1:18" ht="16.5" customHeight="1">
      <c r="A81" s="244"/>
      <c r="B81" s="244"/>
      <c r="C81" s="247"/>
      <c r="D81" s="248" t="s">
        <v>16</v>
      </c>
      <c r="E81" s="249"/>
      <c r="F81" s="99">
        <f>SUM(F80)</f>
        <v>0</v>
      </c>
      <c r="G81" s="155">
        <f>SUM(G80)</f>
        <v>0</v>
      </c>
      <c r="H81" s="170">
        <f>SUM(H80)</f>
        <v>0</v>
      </c>
      <c r="I81" s="171">
        <f>SUM(I80)</f>
        <v>0</v>
      </c>
      <c r="J81" s="209" t="str">
        <f t="shared" si="3"/>
        <v>-</v>
      </c>
      <c r="K81" s="210" t="str">
        <f t="shared" si="3"/>
        <v>-</v>
      </c>
      <c r="L81" s="99">
        <f>SUM(L80)</f>
        <v>0</v>
      </c>
      <c r="M81" s="115">
        <f>SUM(M80)</f>
        <v>0</v>
      </c>
      <c r="N81" s="78" t="str">
        <f t="shared" si="4"/>
        <v>-</v>
      </c>
      <c r="O81" s="89" t="str">
        <f t="shared" si="4"/>
        <v>-</v>
      </c>
      <c r="P81" s="99">
        <f>SUM(P80)</f>
        <v>0</v>
      </c>
      <c r="Q81" s="115">
        <f>SUM(Q80)</f>
        <v>0</v>
      </c>
      <c r="R81" s="189"/>
    </row>
    <row r="82" spans="1:18" ht="16.5" customHeight="1">
      <c r="A82" s="233" t="s">
        <v>58</v>
      </c>
      <c r="B82" s="234"/>
      <c r="C82" s="234"/>
      <c r="D82" s="234"/>
      <c r="E82" s="235"/>
      <c r="F82" s="103">
        <f>F81+F79+F75</f>
        <v>26</v>
      </c>
      <c r="G82" s="160">
        <f>G81+G79+G75</f>
        <v>12010</v>
      </c>
      <c r="H82" s="177">
        <f>H81+H79+H75</f>
        <v>85</v>
      </c>
      <c r="I82" s="178">
        <f>I81+I79+I75</f>
        <v>40420</v>
      </c>
      <c r="J82" s="207">
        <f t="shared" si="3"/>
        <v>0.88888888888888884</v>
      </c>
      <c r="K82" s="208">
        <f t="shared" si="3"/>
        <v>1.0270812437311934</v>
      </c>
      <c r="L82" s="103">
        <f>L81+L79+L75</f>
        <v>45</v>
      </c>
      <c r="M82" s="120">
        <f>M81+M79+M75</f>
        <v>19940</v>
      </c>
      <c r="N82" s="121">
        <f t="shared" si="4"/>
        <v>-0.17475728155339809</v>
      </c>
      <c r="O82" s="125">
        <f t="shared" si="4"/>
        <v>-0.10555432617835803</v>
      </c>
      <c r="P82" s="103">
        <f>P81+P79+P75</f>
        <v>103</v>
      </c>
      <c r="Q82" s="120">
        <f>Q81+Q79+Q75</f>
        <v>45190</v>
      </c>
      <c r="R82" s="188"/>
    </row>
    <row r="83" spans="1:18" ht="17.25" thickBot="1">
      <c r="A83" s="236" t="s">
        <v>55</v>
      </c>
      <c r="B83" s="237"/>
      <c r="C83" s="237"/>
      <c r="D83" s="237"/>
      <c r="E83" s="238"/>
      <c r="F83" s="199">
        <f>F82+F71+F43+F34</f>
        <v>41</v>
      </c>
      <c r="G83" s="225">
        <f>G82+G71+G43+G34</f>
        <v>18990</v>
      </c>
      <c r="H83" s="229">
        <f>H82+H71+H43+H34</f>
        <v>205</v>
      </c>
      <c r="I83" s="230">
        <f>I82+I71+I43+I34</f>
        <v>107485</v>
      </c>
      <c r="J83" s="201">
        <f t="shared" si="3"/>
        <v>0.23493975903614461</v>
      </c>
      <c r="K83" s="202">
        <f t="shared" si="3"/>
        <v>0.40264909304449947</v>
      </c>
      <c r="L83" s="199">
        <f>L82+L71+L43+L34</f>
        <v>166</v>
      </c>
      <c r="M83" s="200">
        <f>M82+M71+M43+M34</f>
        <v>76630</v>
      </c>
      <c r="N83" s="203">
        <f t="shared" si="4"/>
        <v>-0.43213296398891965</v>
      </c>
      <c r="O83" s="204">
        <f t="shared" si="4"/>
        <v>-0.3516016166978343</v>
      </c>
      <c r="P83" s="199">
        <f>P82+P71+P43+P34</f>
        <v>361</v>
      </c>
      <c r="Q83" s="200">
        <f>Q82+Q71+Q43+Q34</f>
        <v>165770</v>
      </c>
      <c r="R83" s="232"/>
    </row>
    <row r="84" spans="1:18">
      <c r="A84" s="25" t="s">
        <v>42</v>
      </c>
    </row>
    <row r="85" spans="1:18">
      <c r="A85" s="25" t="s">
        <v>40</v>
      </c>
    </row>
    <row r="86" spans="1:18">
      <c r="A86" s="25" t="s">
        <v>41</v>
      </c>
    </row>
    <row r="87" spans="1:18">
      <c r="A87" s="25" t="s">
        <v>89</v>
      </c>
    </row>
  </sheetData>
  <mergeCells count="66">
    <mergeCell ref="A82:E82"/>
    <mergeCell ref="A83:E83"/>
    <mergeCell ref="A71:E71"/>
    <mergeCell ref="A72:A81"/>
    <mergeCell ref="B72:B81"/>
    <mergeCell ref="C72:C75"/>
    <mergeCell ref="D75:E75"/>
    <mergeCell ref="C76:C79"/>
    <mergeCell ref="D79:E79"/>
    <mergeCell ref="C80:C81"/>
    <mergeCell ref="D81:E81"/>
    <mergeCell ref="D56:E56"/>
    <mergeCell ref="C57:C60"/>
    <mergeCell ref="D60:E60"/>
    <mergeCell ref="C61:E61"/>
    <mergeCell ref="B62:B70"/>
    <mergeCell ref="C62:C65"/>
    <mergeCell ref="D65:E65"/>
    <mergeCell ref="C66:C69"/>
    <mergeCell ref="D69:E69"/>
    <mergeCell ref="C70:E70"/>
    <mergeCell ref="A43:E43"/>
    <mergeCell ref="A44:A70"/>
    <mergeCell ref="B44:B52"/>
    <mergeCell ref="C44:C47"/>
    <mergeCell ref="D47:E47"/>
    <mergeCell ref="C48:C51"/>
    <mergeCell ref="D51:E51"/>
    <mergeCell ref="C52:E52"/>
    <mergeCell ref="B53:B61"/>
    <mergeCell ref="C53:C56"/>
    <mergeCell ref="A34:E34"/>
    <mergeCell ref="A35:A42"/>
    <mergeCell ref="B35:B36"/>
    <mergeCell ref="C35:C36"/>
    <mergeCell ref="D36:E36"/>
    <mergeCell ref="B37:B42"/>
    <mergeCell ref="C37:C42"/>
    <mergeCell ref="B25:B33"/>
    <mergeCell ref="C25:C28"/>
    <mergeCell ref="D28:E28"/>
    <mergeCell ref="C29:C32"/>
    <mergeCell ref="D32:E32"/>
    <mergeCell ref="C33:E33"/>
    <mergeCell ref="B16:B24"/>
    <mergeCell ref="C16:C19"/>
    <mergeCell ref="D19:E19"/>
    <mergeCell ref="C20:C23"/>
    <mergeCell ref="D23:E23"/>
    <mergeCell ref="C24:E24"/>
    <mergeCell ref="N5:O5"/>
    <mergeCell ref="P5:Q5"/>
    <mergeCell ref="R5:R6"/>
    <mergeCell ref="A7:A33"/>
    <mergeCell ref="B7:B15"/>
    <mergeCell ref="C7:C10"/>
    <mergeCell ref="D10:E10"/>
    <mergeCell ref="C11:C14"/>
    <mergeCell ref="D14:E14"/>
    <mergeCell ref="C15:E15"/>
    <mergeCell ref="A5:D6"/>
    <mergeCell ref="E5:E6"/>
    <mergeCell ref="F5:G5"/>
    <mergeCell ref="H5:I5"/>
    <mergeCell ref="J5:K5"/>
    <mergeCell ref="L5:M5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7ADF-F843-455D-85C6-B0A76B9267C4}">
  <sheetPr>
    <tabColor rgb="FFFF0000"/>
  </sheetPr>
  <dimension ref="A1"/>
  <sheetViews>
    <sheetView workbookViewId="0">
      <selection activeCell="H27" sqref="H27"/>
    </sheetView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0415</vt:lpstr>
      <vt:lpstr>기준</vt:lpstr>
      <vt:lpstr>0416</vt:lpstr>
      <vt:lpstr>0420</vt:lpstr>
      <vt:lpstr>0421</vt:lpstr>
      <vt:lpstr>0423</vt:lpstr>
      <vt:lpstr>0427(동기간추가)</vt:lpstr>
      <vt:lpstr>0429</vt:lpstr>
      <vt:lpstr>0501</vt:lpstr>
      <vt:lpstr>0502</vt:lpstr>
      <vt:lpstr>0504</vt:lpstr>
      <vt:lpstr>0505</vt:lpstr>
      <vt:lpstr>0508</vt:lpstr>
      <vt:lpstr>숨기기확인必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민혁 최</dc:creator>
  <cp:lastModifiedBy>민혁 최</cp:lastModifiedBy>
  <dcterms:created xsi:type="dcterms:W3CDTF">2026-04-15T08:32:53Z</dcterms:created>
  <dcterms:modified xsi:type="dcterms:W3CDTF">2026-05-08T00:35:56Z</dcterms:modified>
</cp:coreProperties>
</file>