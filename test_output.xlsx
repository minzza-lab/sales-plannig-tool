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55" yWindow="2520" windowWidth="21600" windowHeight="11295" firstSheet="6" activeTab="12"/>
  </bookViews>
  <sheets>
    <sheet sheetId="2" name="0415" state="visible" r:id="rId4"/>
    <sheet sheetId="4" name="기준" state="visible" r:id="rId5"/>
    <sheet sheetId="5" name="0416" state="visible" r:id="rId6"/>
    <sheet sheetId="6" name="0420" state="visible" r:id="rId7"/>
    <sheet sheetId="7" name="0421" state="visible" r:id="rId8"/>
    <sheet sheetId="8" name="0423" state="visible" r:id="rId9"/>
    <sheet sheetId="9" name="0427(동기간추가)" state="visible" r:id="rId10"/>
    <sheet sheetId="11" name="0429" state="visible" r:id="rId11"/>
    <sheet sheetId="12" name="0501" state="visible" r:id="rId12"/>
    <sheet sheetId="13" name="0502" state="visible" r:id="rId13"/>
    <sheet sheetId="14" name="0504" state="visible" r:id="rId14"/>
    <sheet sheetId="15" name="0505" state="visible" r:id="rId15"/>
    <sheet sheetId="16" name="0508" state="visible" r:id="rId16"/>
    <sheet sheetId="10" name="숨기기확인必" state="visible" r:id="rId17"/>
  </sheets>
  <calcPr calcId="171027"/>
</workbook>
</file>

<file path=xl/sharedStrings.xml><?xml version="1.0" encoding="utf-8"?>
<sst xmlns="http://schemas.openxmlformats.org/spreadsheetml/2006/main" count="1820" uniqueCount="95">
  <si>
    <t>■ 시즌패스 판매 현황 (4월15일 18:00 기준)</t>
  </si>
  <si>
    <t>가. 판매기간 : 2026년 4월 15일 ~ 5월 15일 (특가 판매)</t>
  </si>
  <si>
    <t>나. 사용기간 : 2026년 4월 18일 ~ 운영종료시까지</t>
  </si>
  <si>
    <t>다. 판매실적</t>
  </si>
  <si>
    <t>(단위: 천원,매 / VAT포함)</t>
  </si>
  <si>
    <t>구 분</t>
  </si>
  <si>
    <t xml:space="preserve">판매 
단가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</si>
  <si>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(4/15)</t>
    </r>
  </si>
  <si>
    <t xml:space="preserve">2026년
(4/15~5/15)</t>
  </si>
  <si>
    <t xml:space="preserve">전년대비
증감율</t>
  </si>
  <si>
    <t xml:space="preserve">2025년 총 계
(4/5~6/29)</t>
  </si>
  <si>
    <t>비 고</t>
  </si>
  <si>
    <t>수량</t>
  </si>
  <si>
    <t>매출</t>
  </si>
  <si>
    <t>수 량</t>
  </si>
  <si>
    <t>매 출</t>
  </si>
  <si>
    <t>특가</t>
  </si>
  <si>
    <t>일반</t>
  </si>
  <si>
    <t>개인권</t>
  </si>
  <si>
    <t>대 인</t>
  </si>
  <si>
    <t>판매 대상 : 일반</t>
  </si>
  <si>
    <t>소 인</t>
  </si>
  <si>
    <t>커플(2인)</t>
  </si>
  <si>
    <t>소 계</t>
  </si>
  <si>
    <t>패밀리권</t>
  </si>
  <si>
    <t>3인권</t>
  </si>
  <si>
    <t>4인권</t>
  </si>
  <si>
    <t>5인권</t>
  </si>
  <si>
    <t>합 계</t>
  </si>
  <si>
    <t xml:space="preserve">회원
/
제휴</t>
  </si>
  <si>
    <t>판매 대상</t>
  </si>
  <si>
    <t xml:space="preserve"> : 콘도/골프/스키</t>
  </si>
  <si>
    <t xml:space="preserve">   기명 및 법인회원</t>
  </si>
  <si>
    <t xml:space="preserve">   제휴사</t>
  </si>
  <si>
    <t xml:space="preserve">지역
주민</t>
  </si>
  <si>
    <t xml:space="preserve"> : 원주,횡성,평창</t>
  </si>
  <si>
    <t>특가 計</t>
  </si>
  <si>
    <t xml:space="preserve">특별
권종</t>
  </si>
  <si>
    <t xml:space="preserve">프리미엄 
시즌패스</t>
  </si>
  <si>
    <t>임직원</t>
  </si>
  <si>
    <t xml:space="preserve">임직원
시즌패스</t>
  </si>
  <si>
    <t>1인권</t>
  </si>
  <si>
    <t>2인권</t>
  </si>
  <si>
    <r>
      <t xml:space="preserve">특별권종 </t>
    </r>
    <r>
      <rPr>
        <charset val="129"/>
        <color theme="1"/>
        <family val="1"/>
        <sz val="9"/>
        <rFont val="바탕"/>
      </rPr>
      <t>計</t>
    </r>
  </si>
  <si>
    <t xml:space="preserve">일반
(정상)</t>
  </si>
  <si>
    <t>일 반 計</t>
  </si>
  <si>
    <t xml:space="preserve">프로
모션</t>
  </si>
  <si>
    <t xml:space="preserve">AK
오프
라인</t>
  </si>
  <si>
    <t>대인</t>
  </si>
  <si>
    <t>소인</t>
  </si>
  <si>
    <t>프리미엄</t>
  </si>
  <si>
    <t>전체 합계</t>
  </si>
  <si>
    <t>■ 시즌패스 판매 현황 (기준)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</si>
  <si>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(기준)</t>
    </r>
  </si>
  <si>
    <t>프로모션 計</t>
  </si>
  <si>
    <r>
      <rPr>
        <charset val="129"/>
        <color theme="1"/>
        <family val="1"/>
        <sz val="9"/>
        <rFont val="바탕"/>
      </rPr>
      <t>註</t>
    </r>
    <r>
      <rPr>
        <charset val="129"/>
        <color theme="1"/>
        <sz val="9"/>
        <rFont val="나눔고딕"/>
      </rPr>
      <t>1) 2025 총 판매실적(4/24~6/30) : 361매 165,770천원 인원환산시 1,074명</t>
    </r>
  </si>
  <si>
    <r>
      <rPr>
        <charset val="129"/>
        <color theme="1"/>
        <family val="1"/>
        <sz val="9"/>
        <rFont val="바탕"/>
      </rPr>
      <t>註2</t>
    </r>
    <r>
      <rPr>
        <charset val="129"/>
        <color theme="1"/>
        <sz val="9"/>
        <rFont val="나눔고딕"/>
      </rPr>
      <t>) 2024년 총 판매실적(4/5~6/29) : 313매 137,960천원 인원환산시 977명</t>
    </r>
  </si>
  <si>
    <r>
      <rPr>
        <charset val="129"/>
        <color theme="1"/>
        <family val="1"/>
        <sz val="9"/>
        <rFont val="바탕"/>
      </rPr>
      <t>註3</t>
    </r>
    <r>
      <rPr>
        <charset val="129"/>
        <color theme="1"/>
        <sz val="9"/>
        <rFont val="나눔고딕"/>
      </rPr>
      <t>) 2023년 총 판매실적(5/3~8/4) : 297매 121,090천원 인원환산시 863명</t>
    </r>
  </si>
  <si>
    <t>■ 시즌패스 판매 현황 (04/16 17:00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</si>
  <si>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(04/16)</t>
    </r>
  </si>
  <si>
    <t>■ 시즌패스 판매 현황 (04/20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</si>
  <si>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(04/17~20)</t>
    </r>
  </si>
  <si>
    <t>■ 시즌패스 판매 현황 (04/21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</si>
  <si>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(04/21)</t>
    </r>
  </si>
  <si>
    <t>■ 시즌패스 판매 현황 (04/23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</si>
  <si>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(04/22</t>
    </r>
    <r>
      <rPr>
        <color theme="1"/>
        <family val="2"/>
        <sz val="9"/>
        <rFont val="Calibri"/>
      </rPr>
      <t>~23</t>
    </r>
    <r>
      <rPr>
        <charset val="129"/>
        <color theme="1"/>
        <sz val="9"/>
        <rFont val="나눔고딕"/>
      </rPr>
      <t>)</t>
    </r>
  </si>
  <si>
    <t>■ 시즌패스 판매 현황 (04/27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</si>
  <si>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(04/23</t>
    </r>
    <r>
      <rPr>
        <color theme="1"/>
        <family val="2"/>
        <sz val="9"/>
        <rFont val="Calibri"/>
      </rPr>
      <t>~27</t>
    </r>
    <r>
      <rPr>
        <charset val="129"/>
        <color theme="1"/>
        <sz val="9"/>
        <rFont val="나눔고딕"/>
      </rPr>
      <t>)</t>
    </r>
  </si>
  <si>
    <t xml:space="preserve">2026년
(4/15~4/27)</t>
  </si>
  <si>
    <r>
      <t xml:space="preserve">동기간 </t>
    </r>
    <r>
      <rPr>
        <charset val="129"/>
        <family val="3"/>
        <sz val="9"/>
        <rFont val="Gulim"/>
      </rPr>
      <t xml:space="preserve">比
증감율</t>
    </r>
  </si>
  <si>
    <r>
      <t xml:space="preserve">2025년
(4/24~5/5) 12</t>
    </r>
    <r>
      <rPr>
        <charset val="129"/>
        <family val="3"/>
        <sz val="9"/>
        <rFont val="Gulim"/>
      </rPr>
      <t>日</t>
    </r>
  </si>
  <si>
    <t xml:space="preserve">2025년 총 계
(4/24~6/30)</t>
  </si>
  <si>
    <t>■ 시즌패스 판매 현황 (04/29 10:00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</si>
  <si>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(04/27</t>
    </r>
    <r>
      <rPr>
        <color theme="1"/>
        <family val="2"/>
        <sz val="9"/>
        <rFont val="Calibri"/>
      </rPr>
      <t>~29</t>
    </r>
    <r>
      <rPr>
        <charset val="129"/>
        <color theme="1"/>
        <sz val="9"/>
        <rFont val="나눔고딕"/>
      </rPr>
      <t>)</t>
    </r>
  </si>
  <si>
    <r>
      <t xml:space="preserve">2026년
(4/15~4/29) 15</t>
    </r>
    <r>
      <rPr>
        <charset val="129"/>
        <family val="3"/>
        <sz val="9"/>
        <rFont val="Gulim"/>
      </rPr>
      <t>日</t>
    </r>
  </si>
  <si>
    <r>
      <t xml:space="preserve">2025년
(4/24~5/7) 14</t>
    </r>
    <r>
      <rPr>
        <charset val="129"/>
        <family val="3"/>
        <sz val="9"/>
        <rFont val="Gulim"/>
      </rPr>
      <t>日</t>
    </r>
  </si>
  <si>
    <t>■ 시즌패스 판매 현황 (05/01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</si>
  <si>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(04/29</t>
    </r>
    <r>
      <rPr>
        <color theme="1"/>
        <family val="2"/>
        <sz val="9"/>
        <rFont val="Calibri"/>
      </rPr>
      <t>~05/01</t>
    </r>
    <r>
      <rPr>
        <charset val="129"/>
        <color theme="1"/>
        <sz val="9"/>
        <rFont val="나눔고딕"/>
      </rPr>
      <t>)</t>
    </r>
  </si>
  <si>
    <r>
      <t xml:space="preserve">2026년
(4/15~5/1) 17</t>
    </r>
    <r>
      <rPr>
        <charset val="129"/>
        <family val="3"/>
        <sz val="9"/>
        <rFont val="Gulim"/>
      </rPr>
      <t>日</t>
    </r>
  </si>
  <si>
    <r>
      <t xml:space="preserve">2025년
(4/24~5/10) 17</t>
    </r>
    <r>
      <rPr>
        <charset val="129"/>
        <family val="3"/>
        <sz val="9"/>
        <rFont val="Gulim"/>
      </rPr>
      <t>日</t>
    </r>
  </si>
  <si>
    <t>■ 시즌패스 판매 현황 (05/02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</si>
  <si>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(05/01</t>
    </r>
    <r>
      <rPr>
        <color theme="1"/>
        <family val="2"/>
        <sz val="9"/>
        <rFont val="Calibri"/>
      </rPr>
      <t>~05/02</t>
    </r>
    <r>
      <rPr>
        <charset val="129"/>
        <color theme="1"/>
        <sz val="9"/>
        <rFont val="나눔고딕"/>
      </rPr>
      <t>)</t>
    </r>
  </si>
  <si>
    <r>
      <t xml:space="preserve">2026년
(4/15~5/2) 18</t>
    </r>
    <r>
      <rPr>
        <charset val="129"/>
        <family val="3"/>
        <sz val="9"/>
        <rFont val="Gulim"/>
      </rPr>
      <t>日</t>
    </r>
  </si>
  <si>
    <r>
      <rPr>
        <charset val="129"/>
        <color theme="1"/>
        <family val="1"/>
        <sz val="9"/>
        <rFont val="바탕"/>
      </rPr>
      <t>註4</t>
    </r>
    <r>
      <rPr>
        <charset val="129"/>
        <color theme="1"/>
        <sz val="9"/>
        <rFont val="나눔고딕"/>
      </rPr>
      <t>) 오프라인 프로모션 동기간 실적의 경우 2025년 5월 17일(1일차) 기준 (판매 실적: 10매/4,480천원)</t>
    </r>
  </si>
  <si>
    <t>■ 시즌패스 판매 현황 (05/04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</si>
  <si>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(05/03</t>
    </r>
    <r>
      <rPr>
        <color theme="1"/>
        <family val="2"/>
        <sz val="9"/>
        <rFont val="Calibri"/>
      </rPr>
      <t>~05/04</t>
    </r>
    <r>
      <rPr>
        <charset val="129"/>
        <color theme="1"/>
        <sz val="9"/>
        <rFont val="나눔고딕"/>
      </rPr>
      <t>)</t>
    </r>
  </si>
  <si>
    <r>
      <t xml:space="preserve">2026년
(4/15~5/4) 20</t>
    </r>
    <r>
      <rPr>
        <charset val="129"/>
        <family val="3"/>
        <sz val="9"/>
        <rFont val="Gulim"/>
      </rPr>
      <t>日</t>
    </r>
  </si>
  <si>
    <r>
      <t xml:space="preserve">2025년
(4/24~5/16) 23</t>
    </r>
    <r>
      <rPr>
        <charset val="129"/>
        <family val="3"/>
        <sz val="9"/>
        <rFont val="Gulim"/>
      </rPr>
      <t>日</t>
    </r>
  </si>
  <si>
    <r>
      <rPr>
        <charset val="129"/>
        <color theme="1"/>
        <family val="1"/>
        <sz val="9"/>
        <rFont val="바탕"/>
      </rPr>
      <t>註4</t>
    </r>
    <r>
      <rPr>
        <charset val="129"/>
        <color theme="1"/>
        <sz val="9"/>
        <rFont val="나눔고딕"/>
      </rPr>
      <t>) 오프라인 프로모션 동기간 실적의 경우 2025년 5월 24일(3일차) 기준 (판매 실적: 45매/19,940천원)</t>
    </r>
  </si>
  <si>
    <t>■ 시즌패스 판매 현황 (05/05 10:00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</si>
  <si>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(05/05)</t>
    </r>
  </si>
  <si>
    <r>
      <t xml:space="preserve">2026년
(4/15~5/5) 21</t>
    </r>
    <r>
      <rPr>
        <charset val="129"/>
        <family val="3"/>
        <sz val="9"/>
        <rFont val="Gulim"/>
      </rPr>
      <t>日</t>
    </r>
  </si>
  <si>
    <t>■ 시즌패스 판매 현황 (05/08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</si>
  <si>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(05/05</t>
    </r>
    <r>
      <rPr>
        <color theme="1"/>
        <family val="2"/>
        <sz val="9"/>
        <rFont val="Calibri"/>
      </rPr>
      <t>~08</t>
    </r>
    <r>
      <rPr>
        <charset val="129"/>
        <color theme="1"/>
        <sz val="9"/>
        <rFont val="나눔고딕"/>
      </rPr>
      <t>)</t>
    </r>
  </si>
  <si>
    <r>
      <t xml:space="preserve">2026년
(4/15~5/8 24</t>
    </r>
    <r>
      <rPr>
        <charset val="129"/>
        <family val="3"/>
        <sz val="9"/>
        <rFont val="Gulim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</si>
</sst>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0.0%"/>
  </numFmts>
  <fonts count="13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4"/>
      <name val="맑은 고딕"/>
    </font>
    <font>
      <charset val="129"/>
      <color rgb="FFFF0000"/>
      <family val="3"/>
      <sz val="10"/>
      <name val="나눔고딕"/>
    </font>
    <font>
      <charset val="129"/>
      <color rgb="FFFF0000"/>
      <family val="3"/>
      <sz val="11"/>
      <name val="나눔고딕"/>
    </font>
    <font>
      <charset val="129"/>
      <color theme="1"/>
      <family val="3"/>
      <sz val="11"/>
      <name val="나눔고딕"/>
    </font>
    <font>
      <charset val="129"/>
      <color theme="1"/>
      <family val="3"/>
      <sz val="10"/>
      <name val="나눔고딕"/>
    </font>
    <font>
      <charset val="129"/>
      <color theme="1"/>
      <family val="3"/>
      <sz val="9"/>
      <name val="나눔고딕"/>
    </font>
    <font>
      <charset val="129"/>
      <color theme="1"/>
      <family val="1"/>
      <sz val="9"/>
      <name val="나눔고딕"/>
    </font>
    <font>
      <charset val="129"/>
      <family val="3"/>
      <sz val="9"/>
      <name val="나눔고딕"/>
    </font>
    <font>
      <charset val="129"/>
      <color theme="1"/>
      <family val="3"/>
      <sz val="9"/>
      <name val="Gulim"/>
    </font>
    <font>
      <charset val="129"/>
      <color theme="1"/>
      <family val="2"/>
      <scheme val="minor"/>
      <sz val="9"/>
      <name val="맑은 고딕"/>
    </font>
    <font>
      <b/>
      <charset val="129"/>
      <color theme="1"/>
      <family val="3"/>
      <scheme val="minor"/>
      <sz val="9"/>
      <name val="맑은 고딕"/>
    </font>
    <font>
      <b/>
      <charset val="129"/>
      <sz val="9"/>
      <name val="나눔고딕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66">
    <border>
      <left/>
      <right/>
      <top/>
      <bottom/>
      <diagonal/>
    </border>
    <border>
      <left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/>
      <top style="thin">
        <color indexed="64"/>
      </top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/>
      <top style="hair"/>
      <bottom style="thin"/>
      <diagonal/>
    </border>
    <border>
      <left/>
      <right/>
      <top style="thin"/>
      <bottom/>
      <diagonal/>
    </border>
    <border>
      <left style="hair"/>
      <right style="thin"/>
      <top style="thin"/>
      <bottom style="hair"/>
      <diagonal/>
    </border>
    <border>
      <left/>
      <right style="thin">
        <color indexed="64"/>
      </right>
      <top style="thin"/>
      <bottom style="hair"/>
      <diagonal/>
    </border>
    <border>
      <left/>
      <right style="hair"/>
      <top style="thin"/>
      <bottom style="thin"/>
      <diagonal/>
    </border>
    <border>
      <left style="hair"/>
      <right style="thin">
        <color indexed="64"/>
      </right>
      <top style="thin"/>
      <bottom style="thin">
        <color indexed="64"/>
      </bottom>
      <diagonal/>
    </border>
    <border>
      <left/>
      <right/>
      <top style="thin">
        <color indexed="64"/>
      </top>
      <bottom style="hair"/>
      <diagonal/>
    </border>
    <border>
      <left style="hair"/>
      <right style="thin"/>
      <top style="hair"/>
      <bottom style="thin"/>
      <diagonal/>
    </border>
    <border>
      <left/>
      <right style="thin"/>
      <top style="hair"/>
      <bottom style="thin"/>
      <diagonal/>
    </border>
    <border>
      <left/>
      <right style="hair"/>
      <top/>
      <bottom style="thin">
        <color indexed="64"/>
      </bottom>
      <diagonal/>
    </border>
    <border>
      <left style="hair"/>
      <right style="thin">
        <color indexed="64"/>
      </right>
      <top/>
      <bottom style="thin"/>
      <diagonal/>
    </border>
    <border>
      <left/>
      <right/>
      <top style="hair"/>
      <bottom style="thin">
        <color indexed="64"/>
      </bottom>
      <diagonal/>
    </border>
    <border>
      <left/>
      <right style="thin">
        <color indexed="64"/>
      </right>
      <top style="hair"/>
      <bottom style="hair"/>
      <diagonal/>
    </border>
    <border>
      <left style="hair"/>
      <right style="thin">
        <color indexed="64"/>
      </right>
      <top style="hair"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>
        <color indexed="64"/>
      </right>
      <top/>
      <bottom style="hair"/>
      <diagonal/>
    </border>
    <border>
      <left/>
      <right/>
      <top/>
      <bottom style="hair"/>
      <diagonal/>
    </border>
    <border>
      <left/>
      <right style="thin">
        <color indexed="64"/>
      </right>
      <top/>
      <bottom style="hair"/>
      <diagonal/>
    </border>
    <border>
      <left style="hair"/>
      <right style="hair"/>
      <top style="thin"/>
      <bottom style="thin">
        <color indexed="64"/>
      </bottom>
      <diagonal/>
    </border>
    <border>
      <left/>
      <right/>
      <top/>
      <bottom style="thin"/>
      <diagonal/>
    </border>
    <border>
      <left style="hair"/>
      <right style="hair"/>
      <top/>
      <bottom style="thin"/>
      <diagonal/>
    </border>
    <border>
      <left style="hair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 style="hair"/>
      <top style="thin">
        <color indexed="64"/>
      </top>
      <bottom style="thin">
        <color indexed="64"/>
      </bottom>
      <diagonal/>
    </border>
    <border>
      <left style="hair"/>
      <right/>
      <top style="thin"/>
      <bottom style="thin">
        <color indexed="64"/>
      </bottom>
      <diagonal/>
    </border>
    <border>
      <left style="medium">
        <color indexed="64"/>
      </left>
      <right style="hair"/>
      <top style="medium">
        <color indexed="64"/>
      </top>
      <bottom style="thin"/>
      <diagonal/>
    </border>
    <border>
      <left style="hair"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hair"/>
      <top/>
      <bottom style="thin">
        <color indexed="64"/>
      </bottom>
      <diagonal/>
    </border>
    <border>
      <left style="hair"/>
      <right style="medium"/>
      <top/>
      <bottom style="thin"/>
      <diagonal/>
    </border>
    <border>
      <left style="thin">
        <color indexed="64"/>
      </left>
      <right style="thin">
        <color indexed="64"/>
      </right>
      <top style="thin"/>
      <bottom style="hair"/>
      <diagonal/>
    </border>
    <border>
      <left style="medium"/>
      <right style="hair"/>
      <top style="thin">
        <color indexed="64"/>
      </top>
      <bottom style="hair"/>
      <diagonal/>
    </border>
    <border>
      <left style="hair"/>
      <right style="medium"/>
      <top style="thin">
        <color indexed="64"/>
      </top>
      <bottom style="hair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/>
      <bottom style="hair"/>
      <diagonal/>
    </border>
    <border>
      <left style="medium"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 style="thin">
        <color indexed="64"/>
      </left>
      <right/>
      <top/>
      <bottom/>
      <diagonal/>
    </border>
    <border>
      <left style="medium"/>
      <right style="hair"/>
      <top style="hair"/>
      <bottom style="thin"/>
      <diagonal/>
    </border>
    <border>
      <left style="hair"/>
      <right style="medium"/>
      <top style="hair"/>
      <bottom style="thin"/>
      <diagonal/>
    </border>
    <border>
      <left style="hair"/>
      <right/>
      <top/>
      <bottom style="hair"/>
      <diagonal/>
    </border>
    <border>
      <left style="medium"/>
      <right style="hair"/>
      <top/>
      <bottom style="hair"/>
      <diagonal/>
    </border>
    <border>
      <left style="hair"/>
      <right style="medium"/>
      <top/>
      <bottom style="hair"/>
      <diagonal/>
    </border>
    <border>
      <left style="thin">
        <color indexed="64"/>
      </left>
      <right style="thin"/>
      <top style="hair"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/>
      <diagonal/>
    </border>
    <border>
      <left style="medium"/>
      <right style="hair"/>
      <top style="thin"/>
      <bottom style="medium"/>
      <diagonal/>
    </border>
    <border>
      <left/>
      <right style="medium">
        <color indexed="64"/>
      </right>
      <top style="thin"/>
      <bottom style="medium">
        <color indexed="64"/>
      </bottom>
      <diagonal/>
    </border>
    <border>
      <left style="thin">
        <color indexed="64"/>
      </left>
      <right style="thin"/>
      <top/>
      <bottom style="thin">
        <color indexed="64"/>
      </bottom>
      <diagonal/>
    </border>
    <border>
      <left style="medium">
        <color indexed="64"/>
      </left>
      <right style="thin"/>
      <top/>
      <bottom style="thin">
        <color indexed="64"/>
      </bottom>
      <diagonal/>
    </border>
    <border>
      <left/>
      <right style="medium">
        <color indexed="64"/>
      </right>
      <top/>
      <bottom style="thin"/>
      <diagonal/>
    </border>
    <border>
      <left style="medium">
        <color indexed="64"/>
      </left>
      <right style="hair"/>
      <top/>
      <bottom style="medium">
        <color indexed="64"/>
      </bottom>
      <diagonal/>
    </border>
    <border>
      <left style="hair"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8" fillId="3" borderId="5" xfId="0" applyNumberFormat="1" applyFont="1" applyFill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164" fontId="8" fillId="5" borderId="5" xfId="0" applyNumberFormat="1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6" fillId="4" borderId="5" xfId="0" applyNumberFormat="1" applyFont="1" applyFill="1" applyBorder="1" applyAlignment="1">
      <alignment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8" fillId="3" borderId="1" xfId="0" applyNumberFormat="1" applyFont="1" applyFill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49" fontId="8" fillId="0" borderId="16" xfId="0" applyNumberFormat="1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8" fillId="3" borderId="4" xfId="0" applyNumberFormat="1" applyFont="1" applyFill="1" applyBorder="1" applyAlignment="1">
      <alignment vertical="center"/>
    </xf>
    <xf numFmtId="164" fontId="8" fillId="0" borderId="23" xfId="0" applyNumberFormat="1" applyFont="1" applyBorder="1" applyAlignment="1">
      <alignment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horizontal="center" vertical="center"/>
    </xf>
    <xf numFmtId="165" fontId="8" fillId="7" borderId="17" xfId="0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8" fillId="3" borderId="24" xfId="0" applyNumberFormat="1" applyFont="1" applyFill="1" applyBorder="1" applyAlignment="1">
      <alignment vertical="center"/>
    </xf>
    <xf numFmtId="164" fontId="8" fillId="0" borderId="26" xfId="0" applyNumberFormat="1" applyFont="1" applyBorder="1" applyAlignment="1">
      <alignment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164" fontId="8" fillId="0" borderId="24" xfId="0" applyNumberFormat="1" applyFont="1" applyBorder="1" applyAlignment="1">
      <alignment vertical="center"/>
    </xf>
    <xf numFmtId="49" fontId="8" fillId="0" borderId="27" xfId="0" applyNumberFormat="1" applyFont="1" applyBorder="1" applyAlignment="1">
      <alignment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164" fontId="6" fillId="7" borderId="23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horizontal="center" vertical="center"/>
    </xf>
    <xf numFmtId="165" fontId="8" fillId="7" borderId="23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vertical="center"/>
    </xf>
    <xf numFmtId="164" fontId="8" fillId="8" borderId="17" xfId="0" applyNumberFormat="1" applyFont="1" applyFill="1" applyBorder="1" applyAlignment="1">
      <alignment vertical="center"/>
    </xf>
    <xf numFmtId="165" fontId="8" fillId="8" borderId="8" xfId="0" applyNumberFormat="1" applyFont="1" applyFill="1" applyBorder="1" applyAlignment="1">
      <alignment horizontal="center" vertical="center"/>
    </xf>
    <xf numFmtId="165" fontId="8" fillId="8" borderId="17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164" fontId="6" fillId="9" borderId="14" xfId="0" applyNumberFormat="1" applyFont="1" applyFill="1" applyBorder="1" applyAlignment="1">
      <alignment vertical="center"/>
    </xf>
    <xf numFmtId="164" fontId="6" fillId="9" borderId="15" xfId="0" applyNumberFormat="1" applyFont="1" applyFill="1" applyBorder="1" applyAlignment="1">
      <alignment vertical="center"/>
    </xf>
    <xf numFmtId="165" fontId="8" fillId="9" borderId="14" xfId="0" applyNumberFormat="1" applyFont="1" applyFill="1" applyBorder="1" applyAlignment="1">
      <alignment horizontal="center" vertical="center"/>
    </xf>
    <xf numFmtId="165" fontId="8" fillId="9" borderId="15" xfId="0" applyNumberFormat="1" applyFont="1" applyFill="1" applyBorder="1" applyAlignment="1">
      <alignment horizontal="center" vertical="center"/>
    </xf>
    <xf numFmtId="49" fontId="8" fillId="0" borderId="30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4" fontId="6" fillId="3" borderId="12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vertical="center"/>
    </xf>
    <xf numFmtId="164" fontId="6" fillId="7" borderId="8" xfId="0" applyNumberFormat="1" applyFont="1" applyFill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/>
    </xf>
    <xf numFmtId="164" fontId="6" fillId="3" borderId="26" xfId="0" applyNumberFormat="1" applyFont="1" applyFill="1" applyBorder="1" applyAlignment="1">
      <alignment vertical="center"/>
    </xf>
    <xf numFmtId="164" fontId="6" fillId="3" borderId="24" xfId="0" applyNumberFormat="1" applyFont="1" applyFill="1" applyBorder="1" applyAlignment="1">
      <alignment vertical="center"/>
    </xf>
    <xf numFmtId="0" fontId="6" fillId="0" borderId="27" xfId="0" applyFont="1" applyBorder="1" applyAlignment="1">
      <alignment vertical="center"/>
    </xf>
    <xf numFmtId="164" fontId="6" fillId="3" borderId="23" xfId="0" applyNumberFormat="1" applyFont="1" applyFill="1" applyBorder="1" applyAlignment="1">
      <alignment vertical="center"/>
    </xf>
    <xf numFmtId="164" fontId="6" fillId="3" borderId="4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164" fontId="6" fillId="9" borderId="20" xfId="0" applyNumberFormat="1" applyFont="1" applyFill="1" applyBorder="1" applyAlignment="1">
      <alignment vertical="center"/>
    </xf>
    <xf numFmtId="164" fontId="6" fillId="9" borderId="19" xfId="0" applyNumberFormat="1" applyFont="1" applyFill="1" applyBorder="1" applyAlignment="1">
      <alignment vertical="center"/>
    </xf>
    <xf numFmtId="165" fontId="8" fillId="9" borderId="19" xfId="0" applyNumberFormat="1" applyFont="1" applyFill="1" applyBorder="1" applyAlignment="1">
      <alignment horizontal="center" vertical="center"/>
    </xf>
    <xf numFmtId="165" fontId="8" fillId="9" borderId="20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vertical="center"/>
    </xf>
    <xf numFmtId="164" fontId="8" fillId="8" borderId="20" xfId="0" applyNumberFormat="1" applyFont="1" applyFill="1" applyBorder="1" applyAlignment="1">
      <alignment vertical="center"/>
    </xf>
    <xf numFmtId="165" fontId="8" fillId="8" borderId="19" xfId="0" applyNumberFormat="1" applyFont="1" applyFill="1" applyBorder="1" applyAlignment="1">
      <alignment horizontal="center" vertical="center"/>
    </xf>
    <xf numFmtId="165" fontId="8" fillId="8" borderId="20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164" fontId="10" fillId="9" borderId="19" xfId="0" applyNumberFormat="1" applyFont="1" applyFill="1" applyBorder="1" applyAlignment="1">
      <alignment vertical="center"/>
    </xf>
    <xf numFmtId="164" fontId="10" fillId="9" borderId="20" xfId="0" applyNumberFormat="1" applyFont="1" applyFill="1" applyBorder="1" applyAlignment="1">
      <alignment vertical="center"/>
    </xf>
    <xf numFmtId="0" fontId="11" fillId="10" borderId="34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164" fontId="11" fillId="10" borderId="36" xfId="0" applyNumberFormat="1" applyFont="1" applyFill="1" applyBorder="1" applyAlignment="1">
      <alignment vertical="center"/>
    </xf>
    <xf numFmtId="164" fontId="11" fillId="10" borderId="35" xfId="0" applyNumberFormat="1" applyFont="1" applyFill="1" applyBorder="1" applyAlignment="1">
      <alignment vertical="center"/>
    </xf>
    <xf numFmtId="0" fontId="11" fillId="10" borderId="36" xfId="0" applyFont="1" applyFill="1" applyBorder="1" applyAlignment="1">
      <alignment vertical="center"/>
    </xf>
    <xf numFmtId="0" fontId="11" fillId="10" borderId="35" xfId="0" applyFont="1" applyFill="1" applyBorder="1" applyAlignment="1">
      <alignment vertical="center"/>
    </xf>
    <xf numFmtId="164" fontId="11" fillId="10" borderId="34" xfId="0" applyNumberFormat="1" applyFont="1" applyFill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8" fillId="3" borderId="43" xfId="0" applyNumberFormat="1" applyFont="1" applyFill="1" applyBorder="1" applyAlignment="1">
      <alignment vertical="center"/>
    </xf>
    <xf numFmtId="164" fontId="8" fillId="0" borderId="44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49" fontId="8" fillId="0" borderId="45" xfId="0" applyNumberFormat="1" applyFont="1" applyBorder="1" applyAlignment="1">
      <alignment vertical="center"/>
    </xf>
    <xf numFmtId="0" fontId="6" fillId="0" borderId="4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164" fontId="8" fillId="3" borderId="47" xfId="0" applyNumberFormat="1" applyFont="1" applyFill="1" applyBorder="1" applyAlignment="1">
      <alignment vertical="center"/>
    </xf>
    <xf numFmtId="164" fontId="8" fillId="0" borderId="48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49" fontId="8" fillId="0" borderId="49" xfId="0" applyNumberFormat="1" applyFont="1" applyBorder="1" applyAlignment="1">
      <alignment vertical="center"/>
    </xf>
    <xf numFmtId="164" fontId="6" fillId="7" borderId="10" xfId="0" applyNumberFormat="1" applyFont="1" applyFill="1" applyBorder="1" applyAlignment="1">
      <alignment horizontal="center" vertical="center"/>
    </xf>
    <xf numFmtId="164" fontId="6" fillId="7" borderId="50" xfId="0" applyNumberFormat="1" applyFont="1" applyFill="1" applyBorder="1" applyAlignment="1">
      <alignment horizontal="center" vertical="center"/>
    </xf>
    <xf numFmtId="164" fontId="6" fillId="7" borderId="51" xfId="0" applyNumberFormat="1" applyFont="1" applyFill="1" applyBorder="1" applyAlignment="1">
      <alignment horizontal="center" vertical="center"/>
    </xf>
    <xf numFmtId="164" fontId="6" fillId="0" borderId="52" xfId="0" applyNumberFormat="1" applyFont="1" applyBorder="1" applyAlignment="1">
      <alignment horizontal="center" vertical="center"/>
    </xf>
    <xf numFmtId="164" fontId="8" fillId="3" borderId="53" xfId="0" applyNumberFormat="1" applyFont="1" applyFill="1" applyBorder="1" applyAlignment="1">
      <alignment vertical="center"/>
    </xf>
    <xf numFmtId="164" fontId="8" fillId="0" borderId="54" xfId="0" applyNumberFormat="1" applyFont="1" applyBorder="1" applyAlignment="1">
      <alignment vertical="center"/>
    </xf>
    <xf numFmtId="164" fontId="8" fillId="0" borderId="52" xfId="0" applyNumberFormat="1" applyFont="1" applyBorder="1" applyAlignment="1">
      <alignment vertical="center"/>
    </xf>
    <xf numFmtId="164" fontId="6" fillId="7" borderId="6" xfId="0" applyNumberFormat="1" applyFont="1" applyFill="1" applyBorder="1" applyAlignment="1">
      <alignment horizontal="center" vertical="center"/>
    </xf>
    <xf numFmtId="164" fontId="6" fillId="7" borderId="47" xfId="0" applyNumberFormat="1" applyFont="1" applyFill="1" applyBorder="1" applyAlignment="1">
      <alignment horizontal="center" vertical="center"/>
    </xf>
    <xf numFmtId="164" fontId="6" fillId="7" borderId="48" xfId="0" applyNumberFormat="1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164" fontId="8" fillId="8" borderId="10" xfId="0" applyNumberFormat="1" applyFont="1" applyFill="1" applyBorder="1" applyAlignment="1">
      <alignment vertical="center"/>
    </xf>
    <xf numFmtId="164" fontId="8" fillId="8" borderId="50" xfId="0" applyNumberFormat="1" applyFont="1" applyFill="1" applyBorder="1" applyAlignment="1">
      <alignment vertical="center"/>
    </xf>
    <xf numFmtId="164" fontId="8" fillId="8" borderId="51" xfId="0" applyNumberFormat="1" applyFont="1" applyFill="1" applyBorder="1" applyAlignment="1">
      <alignment vertical="center"/>
    </xf>
    <xf numFmtId="49" fontId="8" fillId="0" borderId="56" xfId="0" applyNumberFormat="1" applyFont="1" applyBorder="1" applyAlignment="1">
      <alignment vertical="center"/>
    </xf>
    <xf numFmtId="0" fontId="6" fillId="0" borderId="57" xfId="0" applyFont="1" applyBorder="1" applyAlignment="1">
      <alignment horizontal="center" vertical="center" wrapText="1"/>
    </xf>
    <xf numFmtId="164" fontId="6" fillId="9" borderId="32" xfId="0" applyNumberFormat="1" applyFont="1" applyFill="1" applyBorder="1" applyAlignment="1">
      <alignment vertical="center"/>
    </xf>
    <xf numFmtId="164" fontId="6" fillId="9" borderId="40" xfId="0" applyNumberFormat="1" applyFont="1" applyFill="1" applyBorder="1" applyAlignment="1">
      <alignment vertical="center"/>
    </xf>
    <xf numFmtId="164" fontId="6" fillId="9" borderId="41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vertical="center"/>
    </xf>
    <xf numFmtId="164" fontId="6" fillId="3" borderId="43" xfId="0" applyNumberFormat="1" applyFont="1" applyFill="1" applyBorder="1" applyAlignment="1">
      <alignment vertical="center"/>
    </xf>
    <xf numFmtId="164" fontId="6" fillId="3" borderId="44" xfId="0" applyNumberFormat="1" applyFont="1" applyFill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3" borderId="22" xfId="0" applyFont="1" applyFill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vertical="center"/>
    </xf>
    <xf numFmtId="164" fontId="6" fillId="7" borderId="50" xfId="0" applyNumberFormat="1" applyFont="1" applyFill="1" applyBorder="1" applyAlignment="1">
      <alignment vertical="center"/>
    </xf>
    <xf numFmtId="164" fontId="6" fillId="7" borderId="51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horizontal="center" vertical="center" wrapText="1"/>
    </xf>
    <xf numFmtId="164" fontId="6" fillId="3" borderId="52" xfId="0" applyNumberFormat="1" applyFont="1" applyFill="1" applyBorder="1" applyAlignment="1">
      <alignment vertical="center"/>
    </xf>
    <xf numFmtId="164" fontId="6" fillId="3" borderId="53" xfId="0" applyNumberFormat="1" applyFont="1" applyFill="1" applyBorder="1" applyAlignment="1">
      <alignment vertical="center"/>
    </xf>
    <xf numFmtId="164" fontId="6" fillId="3" borderId="54" xfId="0" applyNumberFormat="1" applyFont="1" applyFill="1" applyBorder="1" applyAlignment="1">
      <alignment vertical="center"/>
    </xf>
    <xf numFmtId="164" fontId="6" fillId="3" borderId="6" xfId="0" applyNumberFormat="1" applyFont="1" applyFill="1" applyBorder="1" applyAlignment="1">
      <alignment vertical="center"/>
    </xf>
    <xf numFmtId="164" fontId="6" fillId="3" borderId="47" xfId="0" applyNumberFormat="1" applyFont="1" applyFill="1" applyBorder="1" applyAlignment="1">
      <alignment vertical="center"/>
    </xf>
    <xf numFmtId="164" fontId="6" fillId="3" borderId="48" xfId="0" applyNumberFormat="1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wrapText="1"/>
    </xf>
    <xf numFmtId="0" fontId="6" fillId="0" borderId="56" xfId="0" applyFont="1" applyBorder="1" applyAlignment="1">
      <alignment vertical="center"/>
    </xf>
    <xf numFmtId="49" fontId="6" fillId="0" borderId="49" xfId="0" applyNumberFormat="1" applyFont="1" applyBorder="1" applyAlignment="1">
      <alignment vertical="center"/>
    </xf>
    <xf numFmtId="164" fontId="8" fillId="8" borderId="32" xfId="0" applyNumberFormat="1" applyFont="1" applyFill="1" applyBorder="1" applyAlignment="1">
      <alignment vertical="center"/>
    </xf>
    <xf numFmtId="164" fontId="8" fillId="8" borderId="40" xfId="0" applyNumberFormat="1" applyFont="1" applyFill="1" applyBorder="1" applyAlignment="1">
      <alignment vertical="center"/>
    </xf>
    <xf numFmtId="164" fontId="8" fillId="8" borderId="41" xfId="0" applyNumberFormat="1" applyFont="1" applyFill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0" fillId="3" borderId="49" xfId="0" applyFont="1" applyFill="1" applyBorder="1" applyAlignment="1">
      <alignment vertical="center"/>
    </xf>
    <xf numFmtId="164" fontId="10" fillId="9" borderId="32" xfId="0" applyNumberFormat="1" applyFont="1" applyFill="1" applyBorder="1" applyAlignment="1">
      <alignment vertical="center"/>
    </xf>
    <xf numFmtId="164" fontId="10" fillId="9" borderId="40" xfId="0" applyNumberFormat="1" applyFont="1" applyFill="1" applyBorder="1" applyAlignment="1">
      <alignment vertical="center"/>
    </xf>
    <xf numFmtId="164" fontId="10" fillId="9" borderId="41" xfId="0" applyNumberFormat="1" applyFont="1" applyFill="1" applyBorder="1" applyAlignment="1">
      <alignment vertical="center"/>
    </xf>
    <xf numFmtId="164" fontId="11" fillId="10" borderId="58" xfId="0" applyNumberFormat="1" applyFont="1" applyFill="1" applyBorder="1" applyAlignment="1">
      <alignment vertical="center"/>
    </xf>
    <xf numFmtId="164" fontId="11" fillId="10" borderId="59" xfId="0" applyNumberFormat="1" applyFont="1" applyFill="1" applyBorder="1" applyAlignment="1">
      <alignment vertical="center"/>
    </xf>
    <xf numFmtId="165" fontId="11" fillId="10" borderId="14" xfId="0" applyNumberFormat="1" applyFont="1" applyFill="1" applyBorder="1" applyAlignment="1">
      <alignment vertical="center"/>
    </xf>
    <xf numFmtId="165" fontId="11" fillId="10" borderId="35" xfId="0" applyNumberFormat="1" applyFont="1" applyFill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165" fontId="8" fillId="0" borderId="12" xfId="0" applyNumberFormat="1" applyFont="1" applyBorder="1" applyAlignment="1">
      <alignment vertical="center"/>
    </xf>
    <xf numFmtId="0" fontId="6" fillId="3" borderId="46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vertical="center"/>
    </xf>
    <xf numFmtId="165" fontId="8" fillId="0" borderId="23" xfId="0" applyNumberFormat="1" applyFont="1" applyBorder="1" applyAlignment="1">
      <alignment vertical="center"/>
    </xf>
    <xf numFmtId="0" fontId="6" fillId="3" borderId="55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vertical="center"/>
    </xf>
    <xf numFmtId="165" fontId="8" fillId="7" borderId="17" xfId="0" applyNumberFormat="1" applyFont="1" applyFill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5" fontId="8" fillId="0" borderId="24" xfId="0" applyNumberFormat="1" applyFont="1" applyBorder="1" applyAlignment="1">
      <alignment vertical="center"/>
    </xf>
    <xf numFmtId="165" fontId="8" fillId="0" borderId="26" xfId="0" applyNumberFormat="1" applyFont="1" applyBorder="1" applyAlignment="1">
      <alignment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vertical="center"/>
    </xf>
    <xf numFmtId="165" fontId="8" fillId="8" borderId="20" xfId="0" applyNumberFormat="1" applyFont="1" applyFill="1" applyBorder="1" applyAlignment="1">
      <alignment vertical="center"/>
    </xf>
    <xf numFmtId="165" fontId="8" fillId="9" borderId="19" xfId="0" applyNumberFormat="1" applyFont="1" applyFill="1" applyBorder="1" applyAlignment="1">
      <alignment vertical="center"/>
    </xf>
    <xf numFmtId="165" fontId="8" fillId="9" borderId="20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164" fontId="11" fillId="11" borderId="19" xfId="0" applyNumberFormat="1" applyFont="1" applyFill="1" applyBorder="1" applyAlignment="1">
      <alignment vertical="center"/>
    </xf>
    <xf numFmtId="164" fontId="11" fillId="11" borderId="32" xfId="0" applyNumberFormat="1" applyFont="1" applyFill="1" applyBorder="1" applyAlignment="1">
      <alignment vertical="center"/>
    </xf>
    <xf numFmtId="164" fontId="11" fillId="11" borderId="63" xfId="0" applyNumberFormat="1" applyFont="1" applyFill="1" applyBorder="1" applyAlignment="1">
      <alignment vertical="center"/>
    </xf>
    <xf numFmtId="164" fontId="11" fillId="11" borderId="64" xfId="0" applyNumberFormat="1" applyFont="1" applyFill="1" applyBorder="1" applyAlignment="1">
      <alignment vertical="center"/>
    </xf>
    <xf numFmtId="165" fontId="12" fillId="11" borderId="19" xfId="0" applyNumberFormat="1" applyFont="1" applyFill="1" applyBorder="1" applyAlignment="1">
      <alignment vertical="center"/>
    </xf>
    <xf numFmtId="165" fontId="12" fillId="11" borderId="20" xfId="0" applyNumberFormat="1" applyFont="1" applyFill="1" applyBorder="1" applyAlignment="1">
      <alignment vertical="center"/>
    </xf>
    <xf numFmtId="164" fontId="11" fillId="11" borderId="20" xfId="0" applyNumberFormat="1" applyFont="1" applyFill="1" applyBorder="1" applyAlignment="1">
      <alignment vertical="center"/>
    </xf>
    <xf numFmtId="165" fontId="11" fillId="11" borderId="19" xfId="0" applyNumberFormat="1" applyFont="1" applyFill="1" applyBorder="1" applyAlignment="1">
      <alignment vertical="center"/>
    </xf>
    <xf numFmtId="165" fontId="11" fillId="11" borderId="20" xfId="0" applyNumberFormat="1" applyFont="1" applyFill="1" applyBorder="1" applyAlignment="1">
      <alignment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1" fillId="0" borderId="6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 showGridLines="0" zoomScale="85" zoomScaleNormal="85">
      <selection activeCell="K16" sqref="K16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0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8"/>
      <c r="E5" s="8" t="s">
        <v>6</v>
      </c>
      <c r="F5" s="9" t="s">
        <v>7</v>
      </c>
      <c r="G5" s="8"/>
      <c r="H5" s="10" t="s">
        <v>8</v>
      </c>
      <c r="I5" s="10"/>
      <c r="J5" s="10" t="s">
        <v>9</v>
      </c>
      <c r="K5" s="10"/>
      <c r="L5" s="10" t="s">
        <v>10</v>
      </c>
      <c r="M5" s="10"/>
      <c r="N5" s="11" t="s">
        <v>11</v>
      </c>
    </row>
    <row r="6" spans="1:14" x14ac:dyDescent="0.25">
      <c r="A6" s="12"/>
      <c r="B6" s="13"/>
      <c r="C6" s="13"/>
      <c r="D6" s="13"/>
      <c r="E6" s="13"/>
      <c r="F6" s="13" t="s">
        <v>12</v>
      </c>
      <c r="G6" s="13" t="s">
        <v>13</v>
      </c>
      <c r="H6" s="14" t="s">
        <v>14</v>
      </c>
      <c r="I6" s="13" t="s">
        <v>15</v>
      </c>
      <c r="J6" s="14" t="s">
        <v>14</v>
      </c>
      <c r="K6" s="13" t="s">
        <v>15</v>
      </c>
      <c r="L6" s="14" t="s">
        <v>14</v>
      </c>
      <c r="M6" s="13" t="s">
        <v>15</v>
      </c>
      <c r="N6" s="15"/>
    </row>
    <row r="7" spans="1:14" x14ac:dyDescent="0.25">
      <c r="A7" s="16" t="s">
        <v>16</v>
      </c>
      <c r="B7" s="17" t="s">
        <v>17</v>
      </c>
      <c r="C7" s="18" t="s">
        <v>18</v>
      </c>
      <c r="D7" s="19" t="s">
        <v>19</v>
      </c>
      <c r="E7" s="20">
        <v>275</v>
      </c>
      <c r="F7" s="20">
        <v>0</v>
      </c>
      <c r="G7" s="20">
        <f>F7*E7</f>
        <v>0</v>
      </c>
      <c r="H7" s="21">
        <f>F7</f>
        <v>0</v>
      </c>
      <c r="I7" s="22">
        <f>H7*E7</f>
        <v>0</v>
      </c>
      <c r="J7" s="23">
        <f t="shared" ref="J7:K7" si="0">IFERROR(H7/L7-1,"-")</f>
        <v>-1</v>
      </c>
      <c r="K7" s="23">
        <f t="shared" si="0"/>
        <v>-1</v>
      </c>
      <c r="L7" s="22">
        <f>3+5</f>
        <v>8</v>
      </c>
      <c r="M7" s="22">
        <f>690+1210</f>
        <v>1900</v>
      </c>
      <c r="N7" s="24" t="s">
        <v>20</v>
      </c>
    </row>
    <row r="8" spans="1:14" x14ac:dyDescent="0.25">
      <c r="A8" s="16"/>
      <c r="B8" s="17"/>
      <c r="C8" s="18"/>
      <c r="D8" s="19" t="s">
        <v>21</v>
      </c>
      <c r="E8" s="20">
        <v>180</v>
      </c>
      <c r="F8" s="20"/>
      <c r="G8" s="20"/>
      <c r="H8" s="21">
        <v>0</v>
      </c>
      <c r="I8" s="22">
        <f>H8*E8</f>
        <v>0</v>
      </c>
      <c r="J8" s="23" t="str">
        <f t="shared" ref="J8:J71" si="1">IFERROR(H8/L8-1,"-")</f>
        <v>-</v>
      </c>
      <c r="K8" s="23" t="str">
        <f t="shared" ref="K8:K71" si="2">IFERROR(I8/M8-1,"-")</f>
        <v>-</v>
      </c>
      <c r="L8" s="22"/>
      <c r="M8" s="22"/>
      <c r="N8" s="24"/>
    </row>
    <row r="9" spans="1:14" x14ac:dyDescent="0.25">
      <c r="A9" s="16"/>
      <c r="B9" s="17"/>
      <c r="C9" s="18"/>
      <c r="D9" s="19" t="s">
        <v>22</v>
      </c>
      <c r="E9" s="20">
        <v>420</v>
      </c>
      <c r="F9" s="20">
        <v>0</v>
      </c>
      <c r="G9" s="20">
        <f>F9*E9</f>
        <v>0</v>
      </c>
      <c r="H9" s="21">
        <v>0</v>
      </c>
      <c r="I9" s="22">
        <f>H9*E9</f>
        <v>0</v>
      </c>
      <c r="J9" s="23">
        <f t="shared" si="1"/>
        <v>-1</v>
      </c>
      <c r="K9" s="23">
        <f t="shared" si="2"/>
        <v>-1</v>
      </c>
      <c r="L9" s="22">
        <v>1</v>
      </c>
      <c r="M9" s="22">
        <v>430</v>
      </c>
      <c r="N9" s="24"/>
    </row>
    <row r="10" spans="1:14" x14ac:dyDescent="0.25">
      <c r="A10" s="16"/>
      <c r="B10" s="17"/>
      <c r="C10" s="18"/>
      <c r="D10" s="25" t="s">
        <v>23</v>
      </c>
      <c r="E10" s="25"/>
      <c r="F10" s="26">
        <f>SUM(F7:F9)</f>
        <v>0</v>
      </c>
      <c r="G10" s="26">
        <f>SUM(G7:G9)</f>
        <v>0</v>
      </c>
      <c r="H10" s="26">
        <f>SUM(H7:H9)</f>
        <v>0</v>
      </c>
      <c r="I10" s="26">
        <f>SUM(I7:I9)</f>
        <v>0</v>
      </c>
      <c r="J10" s="23">
        <f t="shared" si="1"/>
        <v>-1</v>
      </c>
      <c r="K10" s="23">
        <f t="shared" si="2"/>
        <v>-1</v>
      </c>
      <c r="L10" s="26">
        <f>SUM(L7:L9)</f>
        <v>9</v>
      </c>
      <c r="M10" s="26">
        <f>SUM(M7:M9)</f>
        <v>2330</v>
      </c>
      <c r="N10" s="24"/>
    </row>
    <row r="11" spans="1:14" x14ac:dyDescent="0.25">
      <c r="A11" s="16"/>
      <c r="B11" s="17"/>
      <c r="C11" s="18" t="s">
        <v>24</v>
      </c>
      <c r="D11" s="19" t="s">
        <v>25</v>
      </c>
      <c r="E11" s="20">
        <v>550</v>
      </c>
      <c r="F11" s="20">
        <v>1</v>
      </c>
      <c r="G11" s="20">
        <f>F11*E11</f>
        <v>550</v>
      </c>
      <c r="H11" s="21">
        <v>1</v>
      </c>
      <c r="I11" s="22">
        <f>H11*E11</f>
        <v>550</v>
      </c>
      <c r="J11" s="23">
        <f t="shared" si="1"/>
        <v>-0.95</v>
      </c>
      <c r="K11" s="23">
        <f t="shared" si="2"/>
        <v>-0.9481132075471698</v>
      </c>
      <c r="L11" s="22">
        <v>20</v>
      </c>
      <c r="M11" s="22">
        <f>1060+9540</f>
        <v>10600</v>
      </c>
      <c r="N11" s="24"/>
    </row>
    <row r="12" spans="1:14" x14ac:dyDescent="0.25">
      <c r="A12" s="16"/>
      <c r="B12" s="17"/>
      <c r="C12" s="18"/>
      <c r="D12" s="19" t="s">
        <v>26</v>
      </c>
      <c r="E12" s="20">
        <v>675</v>
      </c>
      <c r="F12" s="20"/>
      <c r="G12" s="20"/>
      <c r="H12" s="21">
        <v>0</v>
      </c>
      <c r="I12" s="22">
        <f>H12*E12</f>
        <v>0</v>
      </c>
      <c r="J12" s="23">
        <f t="shared" si="1"/>
        <v>-1</v>
      </c>
      <c r="K12" s="23">
        <f t="shared" si="2"/>
        <v>-1</v>
      </c>
      <c r="L12" s="22">
        <v>28</v>
      </c>
      <c r="M12" s="22">
        <f>9600+7680</f>
        <v>17280</v>
      </c>
      <c r="N12" s="24"/>
    </row>
    <row r="13" spans="1:14" x14ac:dyDescent="0.25">
      <c r="A13" s="16"/>
      <c r="B13" s="17"/>
      <c r="C13" s="18"/>
      <c r="D13" s="19" t="s">
        <v>27</v>
      </c>
      <c r="E13" s="20">
        <v>810</v>
      </c>
      <c r="F13" s="20">
        <v>0</v>
      </c>
      <c r="G13" s="20">
        <f>F13*E13</f>
        <v>0</v>
      </c>
      <c r="H13" s="21">
        <v>0</v>
      </c>
      <c r="I13" s="22">
        <f>H13*E13</f>
        <v>0</v>
      </c>
      <c r="J13" s="23" t="str">
        <f t="shared" si="1"/>
        <v>-</v>
      </c>
      <c r="K13" s="23" t="str">
        <f t="shared" si="2"/>
        <v>-</v>
      </c>
      <c r="L13" s="22">
        <v>0</v>
      </c>
      <c r="M13" s="22">
        <v>0</v>
      </c>
      <c r="N13" s="24"/>
    </row>
    <row r="14" spans="1:14" x14ac:dyDescent="0.25">
      <c r="A14" s="16"/>
      <c r="B14" s="17"/>
      <c r="C14" s="18"/>
      <c r="D14" s="25" t="s">
        <v>23</v>
      </c>
      <c r="E14" s="25"/>
      <c r="F14" s="26">
        <f>SUM(F11:F13)</f>
        <v>1</v>
      </c>
      <c r="G14" s="26">
        <f>SUM(G11:G13)</f>
        <v>550</v>
      </c>
      <c r="H14" s="26">
        <f>SUM(H11:H13)</f>
        <v>1</v>
      </c>
      <c r="I14" s="26">
        <f>SUM(I11:I13)</f>
        <v>550</v>
      </c>
      <c r="J14" s="23">
        <f t="shared" si="1"/>
        <v>-0.9791666666666666</v>
      </c>
      <c r="K14" s="23">
        <f t="shared" si="2"/>
        <v>-0.9802725968436155</v>
      </c>
      <c r="L14" s="26">
        <f>SUM(L11:L13)</f>
        <v>48</v>
      </c>
      <c r="M14" s="26">
        <f>SUM(M11:M13)</f>
        <v>27880</v>
      </c>
      <c r="N14" s="24"/>
    </row>
    <row r="15" spans="1:14" x14ac:dyDescent="0.25">
      <c r="A15" s="16"/>
      <c r="B15" s="17"/>
      <c r="C15" s="27" t="s">
        <v>28</v>
      </c>
      <c r="D15" s="27"/>
      <c r="E15" s="28">
        <v>0</v>
      </c>
      <c r="F15" s="29">
        <f>SUM(F10,F14)</f>
        <v>1</v>
      </c>
      <c r="G15" s="29">
        <f>SUM(G10,G14)</f>
        <v>550</v>
      </c>
      <c r="H15" s="29">
        <f>H14+H10</f>
        <v>1</v>
      </c>
      <c r="I15" s="29">
        <f>I14+I10</f>
        <v>550</v>
      </c>
      <c r="J15" s="23">
        <f t="shared" si="1"/>
        <v>-0.9824561403508771</v>
      </c>
      <c r="K15" s="23">
        <f t="shared" si="2"/>
        <v>-0.9817941079112876</v>
      </c>
      <c r="L15" s="29">
        <f>SUM(L10,L14)</f>
        <v>57</v>
      </c>
      <c r="M15" s="29">
        <f>SUM(M10,M14)</f>
        <v>30210</v>
      </c>
      <c r="N15" s="24"/>
    </row>
    <row r="16" spans="1:14" x14ac:dyDescent="0.25">
      <c r="A16" s="16"/>
      <c r="B16" s="17" t="s">
        <v>29</v>
      </c>
      <c r="C16" s="18" t="s">
        <v>18</v>
      </c>
      <c r="D16" s="19" t="s">
        <v>19</v>
      </c>
      <c r="E16" s="20">
        <v>190</v>
      </c>
      <c r="F16" s="20">
        <v>0</v>
      </c>
      <c r="G16" s="20">
        <f>F16*E16</f>
        <v>0</v>
      </c>
      <c r="H16" s="21">
        <v>0</v>
      </c>
      <c r="I16" s="22">
        <f>H16*E16</f>
        <v>0</v>
      </c>
      <c r="J16" s="23">
        <f t="shared" si="1"/>
        <v>-1</v>
      </c>
      <c r="K16" s="23">
        <f t="shared" si="2"/>
        <v>-1</v>
      </c>
      <c r="L16" s="22">
        <v>5</v>
      </c>
      <c r="M16" s="22">
        <v>670</v>
      </c>
      <c r="N16" s="24" t="s">
        <v>30</v>
      </c>
    </row>
    <row r="17" spans="1:14" x14ac:dyDescent="0.25">
      <c r="A17" s="16"/>
      <c r="B17" s="17"/>
      <c r="C17" s="18"/>
      <c r="D17" s="19" t="s">
        <v>21</v>
      </c>
      <c r="E17" s="20">
        <v>120</v>
      </c>
      <c r="F17" s="20"/>
      <c r="G17" s="20"/>
      <c r="H17" s="21">
        <v>0</v>
      </c>
      <c r="I17" s="22">
        <f>H17*E17</f>
        <v>0</v>
      </c>
      <c r="J17" s="23">
        <f t="shared" si="1"/>
        <v>-1</v>
      </c>
      <c r="K17" s="23">
        <f t="shared" si="2"/>
        <v>-1</v>
      </c>
      <c r="L17" s="22">
        <v>3</v>
      </c>
      <c r="M17" s="22">
        <v>430</v>
      </c>
      <c r="N17" s="24"/>
    </row>
    <row r="18" spans="1:14" x14ac:dyDescent="0.25">
      <c r="A18" s="16"/>
      <c r="B18" s="17"/>
      <c r="C18" s="18"/>
      <c r="D18" s="19" t="s">
        <v>22</v>
      </c>
      <c r="E18" s="20">
        <v>300</v>
      </c>
      <c r="F18" s="20">
        <v>0</v>
      </c>
      <c r="G18" s="20">
        <f>F18*E18</f>
        <v>0</v>
      </c>
      <c r="H18" s="21">
        <v>0</v>
      </c>
      <c r="I18" s="22">
        <f>H18*E18</f>
        <v>0</v>
      </c>
      <c r="J18" s="23" t="str">
        <f t="shared" si="1"/>
        <v>-</v>
      </c>
      <c r="K18" s="23" t="str">
        <f t="shared" si="2"/>
        <v>-</v>
      </c>
      <c r="L18" s="22">
        <v>0</v>
      </c>
      <c r="M18" s="22">
        <v>0</v>
      </c>
      <c r="N18" s="24" t="s">
        <v>31</v>
      </c>
    </row>
    <row r="19" spans="1:14" x14ac:dyDescent="0.25">
      <c r="A19" s="16"/>
      <c r="B19" s="17"/>
      <c r="C19" s="18"/>
      <c r="D19" s="25" t="s">
        <v>23</v>
      </c>
      <c r="E19" s="25"/>
      <c r="F19" s="26">
        <f>SUM(F16:F18)</f>
        <v>0</v>
      </c>
      <c r="G19" s="26">
        <f>SUM(G16:G18)</f>
        <v>0</v>
      </c>
      <c r="H19" s="26">
        <f>SUM(H16:H18)</f>
        <v>0</v>
      </c>
      <c r="I19" s="26">
        <f>SUM(I16:I18)</f>
        <v>0</v>
      </c>
      <c r="J19" s="23">
        <f t="shared" si="1"/>
        <v>-1</v>
      </c>
      <c r="K19" s="23">
        <f t="shared" si="2"/>
        <v>-1</v>
      </c>
      <c r="L19" s="26">
        <f>SUM(L16:L18)</f>
        <v>8</v>
      </c>
      <c r="M19" s="26">
        <f>SUM(M16:M18)</f>
        <v>1100</v>
      </c>
      <c r="N19" s="24" t="s">
        <v>32</v>
      </c>
    </row>
    <row r="20" spans="1:14" x14ac:dyDescent="0.25">
      <c r="A20" s="16"/>
      <c r="B20" s="17"/>
      <c r="C20" s="18" t="s">
        <v>24</v>
      </c>
      <c r="D20" s="19" t="s">
        <v>25</v>
      </c>
      <c r="E20" s="20">
        <v>440</v>
      </c>
      <c r="F20" s="20">
        <v>0</v>
      </c>
      <c r="G20" s="20">
        <f>F20*E20</f>
        <v>0</v>
      </c>
      <c r="H20" s="21">
        <v>0</v>
      </c>
      <c r="I20" s="22">
        <f>H20*E20</f>
        <v>0</v>
      </c>
      <c r="J20" s="23">
        <f t="shared" si="1"/>
        <v>-1</v>
      </c>
      <c r="K20" s="23">
        <f t="shared" si="2"/>
        <v>-1</v>
      </c>
      <c r="L20" s="22">
        <f>16+1</f>
        <v>17</v>
      </c>
      <c r="M20" s="22">
        <f>1320+5720+440</f>
        <v>7480</v>
      </c>
      <c r="N20" s="24" t="s">
        <v>33</v>
      </c>
    </row>
    <row r="21" spans="1:14" x14ac:dyDescent="0.25">
      <c r="A21" s="16"/>
      <c r="B21" s="17"/>
      <c r="C21" s="18"/>
      <c r="D21" s="19" t="s">
        <v>26</v>
      </c>
      <c r="E21" s="20">
        <v>520</v>
      </c>
      <c r="F21" s="20"/>
      <c r="G21" s="20"/>
      <c r="H21" s="21">
        <v>0</v>
      </c>
      <c r="I21" s="22">
        <f>H21*E21</f>
        <v>0</v>
      </c>
      <c r="J21" s="23">
        <f t="shared" si="1"/>
        <v>-1</v>
      </c>
      <c r="K21" s="23">
        <f t="shared" si="2"/>
        <v>-1</v>
      </c>
      <c r="L21" s="22">
        <f>9+4</f>
        <v>13</v>
      </c>
      <c r="M21" s="22">
        <f>1560+3120+2080</f>
        <v>6760</v>
      </c>
      <c r="N21" s="24"/>
    </row>
    <row r="22" spans="1:14" x14ac:dyDescent="0.25">
      <c r="A22" s="16"/>
      <c r="B22" s="17"/>
      <c r="C22" s="18"/>
      <c r="D22" s="19" t="s">
        <v>27</v>
      </c>
      <c r="E22" s="20">
        <v>600</v>
      </c>
      <c r="F22" s="20">
        <v>0</v>
      </c>
      <c r="G22" s="20">
        <f>F22*E22</f>
        <v>0</v>
      </c>
      <c r="H22" s="21">
        <v>0</v>
      </c>
      <c r="I22" s="22">
        <f>H22*E22</f>
        <v>0</v>
      </c>
      <c r="J22" s="23" t="str">
        <f t="shared" si="1"/>
        <v>-</v>
      </c>
      <c r="K22" s="23" t="str">
        <f t="shared" si="2"/>
        <v>-</v>
      </c>
      <c r="L22" s="22"/>
      <c r="M22" s="22"/>
      <c r="N22" s="24"/>
    </row>
    <row r="23" spans="1:14" x14ac:dyDescent="0.25">
      <c r="A23" s="16"/>
      <c r="B23" s="17"/>
      <c r="C23" s="18"/>
      <c r="D23" s="25" t="s">
        <v>23</v>
      </c>
      <c r="E23" s="25"/>
      <c r="F23" s="26">
        <f>SUM(F20:F22)</f>
        <v>0</v>
      </c>
      <c r="G23" s="26">
        <f>SUM(G20:G22)</f>
        <v>0</v>
      </c>
      <c r="H23" s="26">
        <f>SUM(H20:H22)</f>
        <v>0</v>
      </c>
      <c r="I23" s="26">
        <f>SUM(I20:I22)</f>
        <v>0</v>
      </c>
      <c r="J23" s="23">
        <f t="shared" si="1"/>
        <v>-1</v>
      </c>
      <c r="K23" s="23">
        <f t="shared" si="2"/>
        <v>-1</v>
      </c>
      <c r="L23" s="26">
        <f>SUM(L20:L22)</f>
        <v>30</v>
      </c>
      <c r="M23" s="26">
        <f>SUM(M20:M22)</f>
        <v>14240</v>
      </c>
      <c r="N23" s="24"/>
    </row>
    <row r="24" spans="1:14" x14ac:dyDescent="0.25">
      <c r="A24" s="16"/>
      <c r="B24" s="17"/>
      <c r="C24" s="27" t="s">
        <v>28</v>
      </c>
      <c r="D24" s="27"/>
      <c r="E24" s="28">
        <v>0</v>
      </c>
      <c r="F24" s="29">
        <f>SUM(F19,F23)</f>
        <v>0</v>
      </c>
      <c r="G24" s="29">
        <f>SUM(G19,G23)</f>
        <v>0</v>
      </c>
      <c r="H24" s="29">
        <f>H23+H19</f>
        <v>0</v>
      </c>
      <c r="I24" s="29">
        <f>I23+I19</f>
        <v>0</v>
      </c>
      <c r="J24" s="23">
        <f t="shared" si="1"/>
        <v>-1</v>
      </c>
      <c r="K24" s="23">
        <f t="shared" si="2"/>
        <v>-1</v>
      </c>
      <c r="L24" s="29">
        <f>SUM(L19,L23)</f>
        <v>38</v>
      </c>
      <c r="M24" s="29">
        <f>SUM(M19,M23)</f>
        <v>15340</v>
      </c>
      <c r="N24" s="24"/>
    </row>
    <row r="25" spans="1:14" x14ac:dyDescent="0.25">
      <c r="A25" s="16"/>
      <c r="B25" s="17" t="s">
        <v>34</v>
      </c>
      <c r="C25" s="18" t="s">
        <v>18</v>
      </c>
      <c r="D25" s="19" t="s">
        <v>19</v>
      </c>
      <c r="E25" s="20">
        <v>190</v>
      </c>
      <c r="F25" s="20">
        <v>0</v>
      </c>
      <c r="G25" s="20">
        <f>F25*E25</f>
        <v>0</v>
      </c>
      <c r="H25" s="21">
        <v>0</v>
      </c>
      <c r="I25" s="22">
        <f>H25*E25</f>
        <v>0</v>
      </c>
      <c r="J25" s="23">
        <f t="shared" si="1"/>
        <v>-1</v>
      </c>
      <c r="K25" s="23">
        <f t="shared" si="2"/>
        <v>-1</v>
      </c>
      <c r="L25" s="22">
        <v>19</v>
      </c>
      <c r="M25" s="22">
        <v>2910</v>
      </c>
      <c r="N25" s="24" t="s">
        <v>30</v>
      </c>
    </row>
    <row r="26" spans="1:14" x14ac:dyDescent="0.25">
      <c r="A26" s="16"/>
      <c r="B26" s="17"/>
      <c r="C26" s="18"/>
      <c r="D26" s="19" t="s">
        <v>21</v>
      </c>
      <c r="E26" s="20">
        <v>120</v>
      </c>
      <c r="F26" s="20"/>
      <c r="G26" s="20"/>
      <c r="H26" s="21">
        <v>0</v>
      </c>
      <c r="I26" s="22">
        <f>H26*E26</f>
        <v>0</v>
      </c>
      <c r="J26" s="23" t="str">
        <f t="shared" si="1"/>
        <v>-</v>
      </c>
      <c r="K26" s="23" t="str">
        <f t="shared" si="2"/>
        <v>-</v>
      </c>
      <c r="L26" s="22">
        <v>0</v>
      </c>
      <c r="M26" s="22">
        <v>0</v>
      </c>
      <c r="N26" s="24"/>
    </row>
    <row r="27" spans="1:14" x14ac:dyDescent="0.25">
      <c r="A27" s="16"/>
      <c r="B27" s="17"/>
      <c r="C27" s="18"/>
      <c r="D27" s="19" t="s">
        <v>22</v>
      </c>
      <c r="E27" s="20">
        <v>300</v>
      </c>
      <c r="F27" s="20">
        <v>0</v>
      </c>
      <c r="G27" s="20">
        <f>F27*E27</f>
        <v>0</v>
      </c>
      <c r="H27" s="21">
        <v>0</v>
      </c>
      <c r="I27" s="22">
        <f>H27*E27</f>
        <v>0</v>
      </c>
      <c r="J27" s="23">
        <f t="shared" si="1"/>
        <v>-1</v>
      </c>
      <c r="K27" s="23">
        <f t="shared" si="2"/>
        <v>-1</v>
      </c>
      <c r="L27" s="22">
        <v>7</v>
      </c>
      <c r="M27" s="22">
        <v>2170</v>
      </c>
      <c r="N27" s="24" t="s">
        <v>35</v>
      </c>
    </row>
    <row r="28" spans="1:14" x14ac:dyDescent="0.25">
      <c r="A28" s="16"/>
      <c r="B28" s="17"/>
      <c r="C28" s="18"/>
      <c r="D28" s="25" t="s">
        <v>23</v>
      </c>
      <c r="E28" s="25"/>
      <c r="F28" s="26">
        <f>SUM(F25:F27)</f>
        <v>0</v>
      </c>
      <c r="G28" s="26">
        <f>SUM(G25:G27)</f>
        <v>0</v>
      </c>
      <c r="H28" s="26">
        <f>SUM(H25:H27)</f>
        <v>0</v>
      </c>
      <c r="I28" s="26">
        <f>SUM(I25:I27)</f>
        <v>0</v>
      </c>
      <c r="J28" s="23">
        <f t="shared" si="1"/>
        <v>-1</v>
      </c>
      <c r="K28" s="23">
        <f t="shared" si="2"/>
        <v>-1</v>
      </c>
      <c r="L28" s="26">
        <f>SUM(L25:L27)</f>
        <v>26</v>
      </c>
      <c r="M28" s="26">
        <f>SUM(M25:M27)</f>
        <v>5080</v>
      </c>
      <c r="N28" s="24"/>
    </row>
    <row r="29" spans="1:14" x14ac:dyDescent="0.25">
      <c r="A29" s="16"/>
      <c r="B29" s="17"/>
      <c r="C29" s="18" t="s">
        <v>24</v>
      </c>
      <c r="D29" s="19" t="s">
        <v>25</v>
      </c>
      <c r="E29" s="20">
        <v>440</v>
      </c>
      <c r="F29" s="20">
        <v>1</v>
      </c>
      <c r="G29" s="20">
        <f>F29*E29</f>
        <v>440</v>
      </c>
      <c r="H29" s="21">
        <v>1</v>
      </c>
      <c r="I29" s="22">
        <f>H29*E29</f>
        <v>440</v>
      </c>
      <c r="J29" s="23">
        <f t="shared" si="1"/>
        <v>-0.9814814814814815</v>
      </c>
      <c r="K29" s="23">
        <f t="shared" si="2"/>
        <v>-0.9814814814814815</v>
      </c>
      <c r="L29" s="22">
        <v>54</v>
      </c>
      <c r="M29" s="22">
        <v>23760</v>
      </c>
      <c r="N29" s="24"/>
    </row>
    <row r="30" spans="1:14" x14ac:dyDescent="0.25">
      <c r="A30" s="16"/>
      <c r="B30" s="17"/>
      <c r="C30" s="18"/>
      <c r="D30" s="19" t="s">
        <v>26</v>
      </c>
      <c r="E30" s="20">
        <v>520</v>
      </c>
      <c r="F30" s="20">
        <v>1</v>
      </c>
      <c r="G30" s="20"/>
      <c r="H30" s="21">
        <v>1</v>
      </c>
      <c r="I30" s="22">
        <f>H30*E30</f>
        <v>520</v>
      </c>
      <c r="J30" s="23">
        <f t="shared" si="1"/>
        <v>-0.975609756097561</v>
      </c>
      <c r="K30" s="23">
        <f t="shared" si="2"/>
        <v>-0.9761904761904762</v>
      </c>
      <c r="L30" s="22">
        <v>41</v>
      </c>
      <c r="M30" s="22">
        <v>21840</v>
      </c>
      <c r="N30" s="24"/>
    </row>
    <row r="31" spans="1:14" x14ac:dyDescent="0.25">
      <c r="A31" s="16"/>
      <c r="B31" s="17"/>
      <c r="C31" s="18"/>
      <c r="D31" s="19" t="s">
        <v>27</v>
      </c>
      <c r="E31" s="20">
        <v>600</v>
      </c>
      <c r="F31" s="20">
        <v>3</v>
      </c>
      <c r="G31" s="20">
        <f>F31*E31</f>
        <v>1800</v>
      </c>
      <c r="H31" s="21">
        <v>3</v>
      </c>
      <c r="I31" s="22">
        <f>H31*E31</f>
        <v>1800</v>
      </c>
      <c r="J31" s="23" t="str">
        <f t="shared" si="1"/>
        <v>-</v>
      </c>
      <c r="K31" s="23" t="str">
        <f t="shared" si="2"/>
        <v>-</v>
      </c>
      <c r="L31" s="22">
        <v>0</v>
      </c>
      <c r="M31" s="22">
        <v>0</v>
      </c>
      <c r="N31" s="24"/>
    </row>
    <row r="32" spans="1:14" x14ac:dyDescent="0.25">
      <c r="A32" s="16"/>
      <c r="B32" s="17"/>
      <c r="C32" s="18"/>
      <c r="D32" s="25" t="s">
        <v>23</v>
      </c>
      <c r="E32" s="25"/>
      <c r="F32" s="26">
        <f>SUM(F29:F31)</f>
        <v>5</v>
      </c>
      <c r="G32" s="26">
        <f>SUM(G29:G31)</f>
        <v>2240</v>
      </c>
      <c r="H32" s="26">
        <f>SUM(H29:H31)</f>
        <v>5</v>
      </c>
      <c r="I32" s="26">
        <f>SUM(I29:I31)</f>
        <v>2760</v>
      </c>
      <c r="J32" s="23">
        <f t="shared" si="1"/>
        <v>-0.9473684210526316</v>
      </c>
      <c r="K32" s="23">
        <f t="shared" si="2"/>
        <v>-0.9394736842105263</v>
      </c>
      <c r="L32" s="26">
        <f>SUM(L29:L31)</f>
        <v>95</v>
      </c>
      <c r="M32" s="26">
        <f>SUM(M29:M31)</f>
        <v>45600</v>
      </c>
      <c r="N32" s="24"/>
    </row>
    <row r="33" spans="1:14" x14ac:dyDescent="0.25">
      <c r="A33" s="16"/>
      <c r="B33" s="17"/>
      <c r="C33" s="27" t="s">
        <v>28</v>
      </c>
      <c r="D33" s="27"/>
      <c r="E33" s="28">
        <v>0</v>
      </c>
      <c r="F33" s="29">
        <f>SUM(F28,F32)</f>
        <v>5</v>
      </c>
      <c r="G33" s="29">
        <f>SUM(G28,G32)</f>
        <v>2240</v>
      </c>
      <c r="H33" s="29">
        <f>H32+H28</f>
        <v>5</v>
      </c>
      <c r="I33" s="29">
        <f>I32+I28</f>
        <v>2760</v>
      </c>
      <c r="J33" s="23">
        <f t="shared" si="1"/>
        <v>-0.9586776859504132</v>
      </c>
      <c r="K33" s="23">
        <f t="shared" si="2"/>
        <v>-0.9455406471981057</v>
      </c>
      <c r="L33" s="29">
        <f>SUM(L28,L32)</f>
        <v>121</v>
      </c>
      <c r="M33" s="29">
        <f>SUM(M28,M32)</f>
        <v>50680</v>
      </c>
      <c r="N33" s="24"/>
    </row>
    <row r="34" spans="1:14" x14ac:dyDescent="0.25">
      <c r="A34" s="30" t="s">
        <v>36</v>
      </c>
      <c r="B34" s="31"/>
      <c r="C34" s="31"/>
      <c r="D34" s="31"/>
      <c r="E34" s="31"/>
      <c r="F34" s="32">
        <f>F15+F24+F33</f>
        <v>6</v>
      </c>
      <c r="G34" s="32">
        <f>G15+G24+G33</f>
        <v>2790</v>
      </c>
      <c r="H34" s="32">
        <f>H15+H24+H33</f>
        <v>6</v>
      </c>
      <c r="I34" s="32">
        <f>I15+I24+I33</f>
        <v>3310</v>
      </c>
      <c r="J34" s="23">
        <f t="shared" si="1"/>
        <v>-0.9722222222222222</v>
      </c>
      <c r="K34" s="23">
        <f t="shared" si="2"/>
        <v>-0.9656032422321521</v>
      </c>
      <c r="L34" s="32">
        <f>L33+L24+L15</f>
        <v>216</v>
      </c>
      <c r="M34" s="32">
        <f>M33+M24+M15</f>
        <v>96230</v>
      </c>
      <c r="N34" s="24"/>
    </row>
    <row r="35" ht="16.5" customHeight="1" hidden="1" spans="1:14" x14ac:dyDescent="0.25">
      <c r="A35" s="33" t="s">
        <v>37</v>
      </c>
      <c r="B35" s="18" t="s">
        <v>17</v>
      </c>
      <c r="C35" s="34" t="s">
        <v>38</v>
      </c>
      <c r="D35" s="18" t="s">
        <v>26</v>
      </c>
      <c r="E35" s="35">
        <v>990</v>
      </c>
      <c r="F35" s="35">
        <v>4</v>
      </c>
      <c r="G35" s="35">
        <f>F35*E35</f>
        <v>3960</v>
      </c>
      <c r="H35" s="35">
        <f>F35</f>
        <v>4</v>
      </c>
      <c r="I35" s="35">
        <f>H35*E35</f>
        <v>3960</v>
      </c>
      <c r="J35" s="23">
        <f t="shared" si="1"/>
        <v>-0.6</v>
      </c>
      <c r="K35" s="23">
        <f t="shared" si="2"/>
        <v>-0.725</v>
      </c>
      <c r="L35" s="35">
        <v>10</v>
      </c>
      <c r="M35" s="35">
        <v>14400</v>
      </c>
      <c r="N35" s="36"/>
    </row>
    <row r="36" hidden="1" spans="1:14" x14ac:dyDescent="0.25">
      <c r="A36" s="33"/>
      <c r="B36" s="18"/>
      <c r="C36" s="18"/>
      <c r="D36" s="25" t="s">
        <v>23</v>
      </c>
      <c r="E36" s="37">
        <v>0</v>
      </c>
      <c r="F36" s="37"/>
      <c r="G36" s="37"/>
      <c r="H36" s="37"/>
      <c r="I36" s="37"/>
      <c r="J36" s="23">
        <f t="shared" si="1"/>
        <v>-1</v>
      </c>
      <c r="K36" s="23">
        <f t="shared" si="2"/>
        <v>-1</v>
      </c>
      <c r="L36" s="37">
        <f>SUM(L35)</f>
        <v>10</v>
      </c>
      <c r="M36" s="37">
        <f>SUM(M35)</f>
        <v>14400</v>
      </c>
      <c r="N36" s="36"/>
    </row>
    <row r="37" hidden="1" spans="1:14" x14ac:dyDescent="0.25">
      <c r="A37" s="33"/>
      <c r="B37" s="34" t="s">
        <v>39</v>
      </c>
      <c r="C37" s="34" t="s">
        <v>40</v>
      </c>
      <c r="D37" s="18" t="s">
        <v>41</v>
      </c>
      <c r="E37" s="35">
        <v>50</v>
      </c>
      <c r="F37" s="35"/>
      <c r="G37" s="35"/>
      <c r="H37" s="35"/>
      <c r="I37" s="35"/>
      <c r="J37" s="23">
        <f t="shared" si="1"/>
        <v>-1</v>
      </c>
      <c r="K37" s="23">
        <f t="shared" si="2"/>
        <v>-1</v>
      </c>
      <c r="L37" s="35">
        <v>6</v>
      </c>
      <c r="M37" s="35">
        <v>300</v>
      </c>
      <c r="N37" s="36"/>
    </row>
    <row r="38" hidden="1" spans="1:14" x14ac:dyDescent="0.25">
      <c r="A38" s="33"/>
      <c r="B38" s="34"/>
      <c r="C38" s="34"/>
      <c r="D38" s="18" t="s">
        <v>42</v>
      </c>
      <c r="E38" s="35">
        <v>100</v>
      </c>
      <c r="F38" s="35"/>
      <c r="G38" s="35"/>
      <c r="H38" s="35"/>
      <c r="I38" s="35"/>
      <c r="J38" s="23">
        <f t="shared" si="1"/>
        <v>-1</v>
      </c>
      <c r="K38" s="23">
        <f t="shared" si="2"/>
        <v>-1</v>
      </c>
      <c r="L38" s="35">
        <v>3</v>
      </c>
      <c r="M38" s="35">
        <v>300</v>
      </c>
      <c r="N38" s="36"/>
    </row>
    <row r="39" hidden="1" spans="1:14" x14ac:dyDescent="0.25">
      <c r="A39" s="33"/>
      <c r="B39" s="34"/>
      <c r="C39" s="34"/>
      <c r="D39" s="18" t="s">
        <v>25</v>
      </c>
      <c r="E39" s="35">
        <v>150</v>
      </c>
      <c r="F39" s="35"/>
      <c r="G39" s="35"/>
      <c r="H39" s="35"/>
      <c r="I39" s="35"/>
      <c r="J39" s="23">
        <f t="shared" si="1"/>
        <v>-1</v>
      </c>
      <c r="K39" s="23">
        <f t="shared" si="2"/>
        <v>-1</v>
      </c>
      <c r="L39" s="35">
        <v>1</v>
      </c>
      <c r="M39" s="35">
        <v>150</v>
      </c>
      <c r="N39" s="36"/>
    </row>
    <row r="40" hidden="1" spans="1:14" x14ac:dyDescent="0.25">
      <c r="A40" s="33"/>
      <c r="B40" s="34"/>
      <c r="C40" s="34"/>
      <c r="D40" s="18" t="s">
        <v>26</v>
      </c>
      <c r="E40" s="35">
        <v>200</v>
      </c>
      <c r="F40" s="35"/>
      <c r="G40" s="35"/>
      <c r="H40" s="35"/>
      <c r="I40" s="35"/>
      <c r="J40" s="23">
        <f t="shared" si="1"/>
        <v>-1</v>
      </c>
      <c r="K40" s="23">
        <f t="shared" si="2"/>
        <v>-1</v>
      </c>
      <c r="L40" s="35">
        <v>1</v>
      </c>
      <c r="M40" s="35">
        <v>200</v>
      </c>
      <c r="N40" s="36"/>
    </row>
    <row r="41" hidden="1" spans="1:14" x14ac:dyDescent="0.25">
      <c r="A41" s="33"/>
      <c r="B41" s="34"/>
      <c r="C41" s="34"/>
      <c r="D41" s="18" t="s">
        <v>27</v>
      </c>
      <c r="E41" s="35">
        <v>250</v>
      </c>
      <c r="F41" s="35"/>
      <c r="G41" s="35"/>
      <c r="H41" s="35"/>
      <c r="I41" s="35"/>
      <c r="J41" s="23" t="str">
        <f t="shared" si="1"/>
        <v>-</v>
      </c>
      <c r="K41" s="23" t="str">
        <f t="shared" si="2"/>
        <v>-</v>
      </c>
      <c r="L41" s="35">
        <v>0</v>
      </c>
      <c r="M41" s="35">
        <v>0</v>
      </c>
      <c r="N41" s="36"/>
    </row>
    <row r="42" hidden="1" spans="1:14" x14ac:dyDescent="0.25">
      <c r="A42" s="33"/>
      <c r="B42" s="34"/>
      <c r="C42" s="34"/>
      <c r="D42" s="25" t="s">
        <v>23</v>
      </c>
      <c r="E42" s="37">
        <v>0</v>
      </c>
      <c r="F42" s="37"/>
      <c r="G42" s="37"/>
      <c r="H42" s="37"/>
      <c r="I42" s="37"/>
      <c r="J42" s="23">
        <f t="shared" si="1"/>
        <v>-1</v>
      </c>
      <c r="K42" s="23">
        <f t="shared" si="2"/>
        <v>-1</v>
      </c>
      <c r="L42" s="37">
        <f>SUM(L37:L41)</f>
        <v>11</v>
      </c>
      <c r="M42" s="37">
        <f>SUM(M37:M41)</f>
        <v>950</v>
      </c>
      <c r="N42" s="36"/>
    </row>
    <row r="43" hidden="1" spans="1:14" x14ac:dyDescent="0.25">
      <c r="A43" s="38" t="s">
        <v>43</v>
      </c>
      <c r="B43" s="39"/>
      <c r="C43" s="39"/>
      <c r="D43" s="39"/>
      <c r="E43" s="32">
        <v>0</v>
      </c>
      <c r="F43" s="32">
        <f>F42+F36</f>
        <v>0</v>
      </c>
      <c r="G43" s="32">
        <f>G42+G36</f>
        <v>0</v>
      </c>
      <c r="H43" s="32">
        <f>H42+H36</f>
        <v>0</v>
      </c>
      <c r="I43" s="32">
        <f>I42+I36</f>
        <v>0</v>
      </c>
      <c r="J43" s="23">
        <f t="shared" si="1"/>
        <v>-1</v>
      </c>
      <c r="K43" s="23">
        <f t="shared" si="2"/>
        <v>-1</v>
      </c>
      <c r="L43" s="32">
        <f>L42+L36</f>
        <v>21</v>
      </c>
      <c r="M43" s="32">
        <f>M42+M36</f>
        <v>15350</v>
      </c>
      <c r="N43" s="36"/>
    </row>
    <row r="44" spans="1:14" x14ac:dyDescent="0.25">
      <c r="A44" s="40" t="s">
        <v>44</v>
      </c>
      <c r="B44" s="17" t="s">
        <v>17</v>
      </c>
      <c r="C44" s="18" t="s">
        <v>18</v>
      </c>
      <c r="D44" s="19" t="s">
        <v>19</v>
      </c>
      <c r="E44" s="20">
        <v>275</v>
      </c>
      <c r="F44" s="20">
        <v>0</v>
      </c>
      <c r="G44" s="20">
        <f>F44*E44</f>
        <v>0</v>
      </c>
      <c r="H44" s="21">
        <f>F44</f>
        <v>0</v>
      </c>
      <c r="I44" s="22">
        <f>H44*E44</f>
        <v>0</v>
      </c>
      <c r="J44" s="23">
        <f t="shared" si="1"/>
        <v>-1</v>
      </c>
      <c r="K44" s="23">
        <f t="shared" si="2"/>
        <v>-1</v>
      </c>
      <c r="L44" s="22">
        <v>3</v>
      </c>
      <c r="M44" s="22">
        <v>650</v>
      </c>
      <c r="N44" s="41"/>
    </row>
    <row r="45" spans="1:14" x14ac:dyDescent="0.25">
      <c r="A45" s="16"/>
      <c r="B45" s="17"/>
      <c r="C45" s="18"/>
      <c r="D45" s="19" t="s">
        <v>21</v>
      </c>
      <c r="E45" s="20">
        <v>180</v>
      </c>
      <c r="F45" s="20"/>
      <c r="G45" s="20"/>
      <c r="H45" s="21">
        <v>0</v>
      </c>
      <c r="I45" s="22">
        <f>H45*E45</f>
        <v>0</v>
      </c>
      <c r="J45" s="23" t="str">
        <f t="shared" si="1"/>
        <v>-</v>
      </c>
      <c r="K45" s="23" t="str">
        <f t="shared" si="2"/>
        <v>-</v>
      </c>
      <c r="L45" s="22"/>
      <c r="M45" s="22"/>
      <c r="N45" s="41"/>
    </row>
    <row r="46" spans="1:14" x14ac:dyDescent="0.25">
      <c r="A46" s="16"/>
      <c r="B46" s="17"/>
      <c r="C46" s="18"/>
      <c r="D46" s="19" t="s">
        <v>22</v>
      </c>
      <c r="E46" s="20">
        <v>420</v>
      </c>
      <c r="F46" s="20">
        <v>0</v>
      </c>
      <c r="G46" s="20">
        <f>F46*E46</f>
        <v>0</v>
      </c>
      <c r="H46" s="21">
        <v>0</v>
      </c>
      <c r="I46" s="22">
        <f>H46*E46</f>
        <v>0</v>
      </c>
      <c r="J46" s="23" t="str">
        <f t="shared" si="1"/>
        <v>-</v>
      </c>
      <c r="K46" s="23" t="str">
        <f t="shared" si="2"/>
        <v>-</v>
      </c>
      <c r="L46" s="22"/>
      <c r="M46" s="22"/>
      <c r="N46" s="36"/>
    </row>
    <row r="47" spans="1:14" x14ac:dyDescent="0.25">
      <c r="A47" s="16"/>
      <c r="B47" s="17"/>
      <c r="C47" s="18"/>
      <c r="D47" s="25" t="s">
        <v>23</v>
      </c>
      <c r="E47" s="25"/>
      <c r="F47" s="26">
        <f>SUM(F44:F46)</f>
        <v>0</v>
      </c>
      <c r="G47" s="26">
        <f>SUM(G44:G46)</f>
        <v>0</v>
      </c>
      <c r="H47" s="26">
        <f>SUM(H44:H46)</f>
        <v>0</v>
      </c>
      <c r="I47" s="26">
        <f>SUM(I44:I46)</f>
        <v>0</v>
      </c>
      <c r="J47" s="23">
        <f t="shared" si="1"/>
        <v>-1</v>
      </c>
      <c r="K47" s="23">
        <f t="shared" si="2"/>
        <v>-1</v>
      </c>
      <c r="L47" s="26">
        <f>SUM(L44:L46)</f>
        <v>3</v>
      </c>
      <c r="M47" s="26">
        <f>SUM(M44:M46)</f>
        <v>650</v>
      </c>
      <c r="N47" s="36"/>
    </row>
    <row r="48" spans="1:14" x14ac:dyDescent="0.25">
      <c r="A48" s="16"/>
      <c r="B48" s="17"/>
      <c r="C48" s="18" t="s">
        <v>24</v>
      </c>
      <c r="D48" s="19" t="s">
        <v>25</v>
      </c>
      <c r="E48" s="20">
        <v>550</v>
      </c>
      <c r="F48" s="20"/>
      <c r="G48" s="20">
        <f>F48*E48</f>
        <v>0</v>
      </c>
      <c r="H48" s="21"/>
      <c r="I48" s="22">
        <f>H48*E48</f>
        <v>0</v>
      </c>
      <c r="J48" s="23">
        <f t="shared" si="1"/>
        <v>-1</v>
      </c>
      <c r="K48" s="23">
        <f t="shared" si="2"/>
        <v>-1</v>
      </c>
      <c r="L48" s="22">
        <v>1</v>
      </c>
      <c r="M48" s="22">
        <v>720</v>
      </c>
      <c r="N48" s="36"/>
    </row>
    <row r="49" spans="1:14" x14ac:dyDescent="0.25">
      <c r="A49" s="16"/>
      <c r="B49" s="17"/>
      <c r="C49" s="18"/>
      <c r="D49" s="19" t="s">
        <v>26</v>
      </c>
      <c r="E49" s="20">
        <v>675</v>
      </c>
      <c r="F49" s="20"/>
      <c r="G49" s="20"/>
      <c r="H49" s="21">
        <v>0</v>
      </c>
      <c r="I49" s="22">
        <f>H49*E49</f>
        <v>0</v>
      </c>
      <c r="J49" s="23">
        <f t="shared" si="1"/>
        <v>-1</v>
      </c>
      <c r="K49" s="23">
        <f t="shared" si="2"/>
        <v>-1</v>
      </c>
      <c r="L49" s="22">
        <v>1</v>
      </c>
      <c r="M49" s="22">
        <v>880</v>
      </c>
      <c r="N49" s="36"/>
    </row>
    <row r="50" spans="1:14" x14ac:dyDescent="0.25">
      <c r="A50" s="16"/>
      <c r="B50" s="17"/>
      <c r="C50" s="18"/>
      <c r="D50" s="19" t="s">
        <v>27</v>
      </c>
      <c r="E50" s="20">
        <v>810</v>
      </c>
      <c r="F50" s="20">
        <v>0</v>
      </c>
      <c r="G50" s="20">
        <f>F50*E50</f>
        <v>0</v>
      </c>
      <c r="H50" s="21">
        <v>0</v>
      </c>
      <c r="I50" s="22">
        <f>H50*E50</f>
        <v>0</v>
      </c>
      <c r="J50" s="23" t="str">
        <f t="shared" si="1"/>
        <v>-</v>
      </c>
      <c r="K50" s="23" t="str">
        <f t="shared" si="2"/>
        <v>-</v>
      </c>
      <c r="L50" s="22">
        <v>0</v>
      </c>
      <c r="M50" s="22">
        <v>0</v>
      </c>
      <c r="N50" s="36"/>
    </row>
    <row r="51" spans="1:14" x14ac:dyDescent="0.25">
      <c r="A51" s="16"/>
      <c r="B51" s="17"/>
      <c r="C51" s="18"/>
      <c r="D51" s="25" t="s">
        <v>23</v>
      </c>
      <c r="E51" s="25"/>
      <c r="F51" s="26">
        <f>SUM(F48:F50)</f>
        <v>0</v>
      </c>
      <c r="G51" s="26">
        <f>SUM(G48:G50)</f>
        <v>0</v>
      </c>
      <c r="H51" s="26">
        <f>SUM(H48:H50)</f>
        <v>0</v>
      </c>
      <c r="I51" s="26">
        <f>SUM(I48:I50)</f>
        <v>0</v>
      </c>
      <c r="J51" s="23">
        <f t="shared" si="1"/>
        <v>-1</v>
      </c>
      <c r="K51" s="23">
        <f t="shared" si="2"/>
        <v>-1</v>
      </c>
      <c r="L51" s="26">
        <f>SUM(L48:L50)</f>
        <v>2</v>
      </c>
      <c r="M51" s="26">
        <f>SUM(M48:M50)</f>
        <v>1600</v>
      </c>
      <c r="N51" s="36"/>
    </row>
    <row r="52" spans="1:14" x14ac:dyDescent="0.25">
      <c r="A52" s="16"/>
      <c r="B52" s="17"/>
      <c r="C52" s="42" t="s">
        <v>28</v>
      </c>
      <c r="D52" s="43"/>
      <c r="E52" s="44"/>
      <c r="F52" s="29">
        <f>SUM(F47,F51)</f>
        <v>0</v>
      </c>
      <c r="G52" s="29">
        <f>SUM(G47,G51)</f>
        <v>0</v>
      </c>
      <c r="H52" s="29">
        <f>H51+H47</f>
        <v>0</v>
      </c>
      <c r="I52" s="29">
        <f>I51+I47</f>
        <v>0</v>
      </c>
      <c r="J52" s="23">
        <f t="shared" si="1"/>
        <v>-1</v>
      </c>
      <c r="K52" s="23">
        <f t="shared" si="2"/>
        <v>-1</v>
      </c>
      <c r="L52" s="29">
        <f>L51+L47</f>
        <v>5</v>
      </c>
      <c r="M52" s="29">
        <f>M51+M47</f>
        <v>2250</v>
      </c>
      <c r="N52" s="36"/>
    </row>
    <row r="53" spans="1:14" x14ac:dyDescent="0.25">
      <c r="A53" s="16"/>
      <c r="B53" s="17" t="s">
        <v>29</v>
      </c>
      <c r="C53" s="18" t="s">
        <v>18</v>
      </c>
      <c r="D53" s="19" t="s">
        <v>19</v>
      </c>
      <c r="E53" s="20">
        <v>190</v>
      </c>
      <c r="F53" s="20">
        <v>0</v>
      </c>
      <c r="G53" s="20">
        <f>F53*E53</f>
        <v>0</v>
      </c>
      <c r="H53" s="21">
        <v>0</v>
      </c>
      <c r="I53" s="22">
        <f>H53*E53</f>
        <v>0</v>
      </c>
      <c r="J53" s="23" t="str">
        <f t="shared" si="1"/>
        <v>-</v>
      </c>
      <c r="K53" s="23" t="str">
        <f t="shared" si="2"/>
        <v>-</v>
      </c>
      <c r="L53" s="22">
        <v>0</v>
      </c>
      <c r="M53" s="22">
        <v>0</v>
      </c>
      <c r="N53" s="45"/>
    </row>
    <row r="54" spans="1:14" x14ac:dyDescent="0.25">
      <c r="A54" s="16"/>
      <c r="B54" s="17"/>
      <c r="C54" s="18"/>
      <c r="D54" s="19" t="s">
        <v>21</v>
      </c>
      <c r="E54" s="20">
        <v>120</v>
      </c>
      <c r="F54" s="20"/>
      <c r="G54" s="20"/>
      <c r="H54" s="21">
        <v>0</v>
      </c>
      <c r="I54" s="22">
        <f>H54*E54</f>
        <v>0</v>
      </c>
      <c r="J54" s="23" t="str">
        <f t="shared" si="1"/>
        <v>-</v>
      </c>
      <c r="K54" s="23" t="str">
        <f t="shared" si="2"/>
        <v>-</v>
      </c>
      <c r="L54" s="22">
        <v>0</v>
      </c>
      <c r="M54" s="22">
        <v>0</v>
      </c>
      <c r="N54" s="45"/>
    </row>
    <row r="55" spans="1:14" x14ac:dyDescent="0.25">
      <c r="A55" s="16"/>
      <c r="B55" s="17"/>
      <c r="C55" s="18"/>
      <c r="D55" s="19" t="s">
        <v>22</v>
      </c>
      <c r="E55" s="20">
        <v>300</v>
      </c>
      <c r="F55" s="20">
        <v>0</v>
      </c>
      <c r="G55" s="20">
        <f>F55*E55</f>
        <v>0</v>
      </c>
      <c r="H55" s="21">
        <v>0</v>
      </c>
      <c r="I55" s="22">
        <f>H55*E55</f>
        <v>0</v>
      </c>
      <c r="J55" s="23" t="str">
        <f t="shared" si="1"/>
        <v>-</v>
      </c>
      <c r="K55" s="23" t="str">
        <f t="shared" si="2"/>
        <v>-</v>
      </c>
      <c r="L55" s="22">
        <v>0</v>
      </c>
      <c r="M55" s="22">
        <v>0</v>
      </c>
      <c r="N55" s="45"/>
    </row>
    <row r="56" spans="1:14" x14ac:dyDescent="0.25">
      <c r="A56" s="16"/>
      <c r="B56" s="17"/>
      <c r="C56" s="18"/>
      <c r="D56" s="25" t="s">
        <v>23</v>
      </c>
      <c r="E56" s="25"/>
      <c r="F56" s="26">
        <f>SUM(F53:F55)</f>
        <v>0</v>
      </c>
      <c r="G56" s="26">
        <f>SUM(G53:G55)</f>
        <v>0</v>
      </c>
      <c r="H56" s="26">
        <f>SUM(H53:H55)</f>
        <v>0</v>
      </c>
      <c r="I56" s="26">
        <f>SUM(I53:I55)</f>
        <v>0</v>
      </c>
      <c r="J56" s="23" t="str">
        <f t="shared" si="1"/>
        <v>-</v>
      </c>
      <c r="K56" s="23" t="str">
        <f t="shared" si="2"/>
        <v>-</v>
      </c>
      <c r="L56" s="26">
        <f>SUM(L53:L55)</f>
        <v>0</v>
      </c>
      <c r="M56" s="26">
        <f>SUM(M53:M55)</f>
        <v>0</v>
      </c>
      <c r="N56" s="45"/>
    </row>
    <row r="57" spans="1:14" x14ac:dyDescent="0.25">
      <c r="A57" s="16"/>
      <c r="B57" s="17"/>
      <c r="C57" s="18" t="s">
        <v>24</v>
      </c>
      <c r="D57" s="19" t="s">
        <v>25</v>
      </c>
      <c r="E57" s="20">
        <v>440</v>
      </c>
      <c r="F57" s="20">
        <v>0</v>
      </c>
      <c r="G57" s="20">
        <f>F57*E57</f>
        <v>0</v>
      </c>
      <c r="H57" s="21">
        <v>0</v>
      </c>
      <c r="I57" s="22">
        <f>H57*E57</f>
        <v>0</v>
      </c>
      <c r="J57" s="23" t="str">
        <f t="shared" si="1"/>
        <v>-</v>
      </c>
      <c r="K57" s="23" t="str">
        <f t="shared" si="2"/>
        <v>-</v>
      </c>
      <c r="L57" s="22">
        <v>0</v>
      </c>
      <c r="M57" s="22">
        <v>0</v>
      </c>
      <c r="N57" s="45"/>
    </row>
    <row r="58" spans="1:14" x14ac:dyDescent="0.25">
      <c r="A58" s="16"/>
      <c r="B58" s="17"/>
      <c r="C58" s="18"/>
      <c r="D58" s="19" t="s">
        <v>26</v>
      </c>
      <c r="E58" s="20">
        <v>520</v>
      </c>
      <c r="F58" s="20">
        <v>0</v>
      </c>
      <c r="G58" s="20">
        <v>0</v>
      </c>
      <c r="H58" s="21">
        <v>0</v>
      </c>
      <c r="I58" s="22">
        <f>H58*E58</f>
        <v>0</v>
      </c>
      <c r="J58" s="23" t="str">
        <f t="shared" si="1"/>
        <v>-</v>
      </c>
      <c r="K58" s="23" t="str">
        <f t="shared" si="2"/>
        <v>-</v>
      </c>
      <c r="L58" s="22">
        <v>0</v>
      </c>
      <c r="M58" s="22">
        <v>0</v>
      </c>
      <c r="N58" s="45"/>
    </row>
    <row r="59" spans="1:14" x14ac:dyDescent="0.25">
      <c r="A59" s="16"/>
      <c r="B59" s="17"/>
      <c r="C59" s="18"/>
      <c r="D59" s="19" t="s">
        <v>27</v>
      </c>
      <c r="E59" s="20">
        <v>600</v>
      </c>
      <c r="F59" s="20">
        <v>0</v>
      </c>
      <c r="G59" s="20">
        <f>F59*E59</f>
        <v>0</v>
      </c>
      <c r="H59" s="21">
        <v>0</v>
      </c>
      <c r="I59" s="22">
        <f>H59*E59</f>
        <v>0</v>
      </c>
      <c r="J59" s="23" t="str">
        <f t="shared" si="1"/>
        <v>-</v>
      </c>
      <c r="K59" s="23" t="str">
        <f t="shared" si="2"/>
        <v>-</v>
      </c>
      <c r="L59" s="22">
        <v>0</v>
      </c>
      <c r="M59" s="22">
        <v>0</v>
      </c>
      <c r="N59" s="45"/>
    </row>
    <row r="60" spans="1:14" x14ac:dyDescent="0.25">
      <c r="A60" s="16"/>
      <c r="B60" s="17"/>
      <c r="C60" s="18"/>
      <c r="D60" s="25" t="s">
        <v>23</v>
      </c>
      <c r="E60" s="25"/>
      <c r="F60" s="26">
        <f>SUM(F57:F59)</f>
        <v>0</v>
      </c>
      <c r="G60" s="26">
        <f>SUM(G57:G59)</f>
        <v>0</v>
      </c>
      <c r="H60" s="26">
        <f>SUM(H57:H59)</f>
        <v>0</v>
      </c>
      <c r="I60" s="26">
        <f>SUM(I57:I59)</f>
        <v>0</v>
      </c>
      <c r="J60" s="23" t="str">
        <f t="shared" si="1"/>
        <v>-</v>
      </c>
      <c r="K60" s="23" t="str">
        <f t="shared" si="2"/>
        <v>-</v>
      </c>
      <c r="L60" s="26">
        <f>SUM(L57:L59)</f>
        <v>0</v>
      </c>
      <c r="M60" s="26">
        <f>SUM(M57:M59)</f>
        <v>0</v>
      </c>
      <c r="N60" s="45"/>
    </row>
    <row r="61" spans="1:14" x14ac:dyDescent="0.25">
      <c r="A61" s="16"/>
      <c r="B61" s="17"/>
      <c r="C61" s="42" t="s">
        <v>28</v>
      </c>
      <c r="D61" s="43"/>
      <c r="E61" s="44"/>
      <c r="F61" s="29">
        <f>SUM(F56,F60)</f>
        <v>0</v>
      </c>
      <c r="G61" s="29">
        <f>SUM(G56,G60)</f>
        <v>0</v>
      </c>
      <c r="H61" s="29">
        <f>H60+H56</f>
        <v>0</v>
      </c>
      <c r="I61" s="29">
        <f>I60+I56</f>
        <v>0</v>
      </c>
      <c r="J61" s="23" t="str">
        <f t="shared" si="1"/>
        <v>-</v>
      </c>
      <c r="K61" s="23" t="str">
        <f t="shared" si="2"/>
        <v>-</v>
      </c>
      <c r="L61" s="29">
        <f>SUM(L56,L60)</f>
        <v>0</v>
      </c>
      <c r="M61" s="29">
        <f>SUM(M56,M60)</f>
        <v>0</v>
      </c>
      <c r="N61" s="45"/>
    </row>
    <row r="62" spans="1:14" x14ac:dyDescent="0.25">
      <c r="A62" s="16"/>
      <c r="B62" s="17" t="s">
        <v>34</v>
      </c>
      <c r="C62" s="18" t="s">
        <v>18</v>
      </c>
      <c r="D62" s="19" t="s">
        <v>19</v>
      </c>
      <c r="E62" s="20">
        <v>190</v>
      </c>
      <c r="F62" s="20">
        <v>0</v>
      </c>
      <c r="G62" s="20">
        <f>F62*E62</f>
        <v>0</v>
      </c>
      <c r="H62" s="21">
        <v>0</v>
      </c>
      <c r="I62" s="22">
        <f>H62*E62</f>
        <v>0</v>
      </c>
      <c r="J62" s="23">
        <f t="shared" si="1"/>
        <v>-1</v>
      </c>
      <c r="K62" s="23">
        <f t="shared" si="2"/>
        <v>-1</v>
      </c>
      <c r="L62" s="22">
        <v>5</v>
      </c>
      <c r="M62" s="22">
        <v>1020</v>
      </c>
      <c r="N62" s="45"/>
    </row>
    <row r="63" spans="1:14" x14ac:dyDescent="0.25">
      <c r="A63" s="16"/>
      <c r="B63" s="17"/>
      <c r="C63" s="18"/>
      <c r="D63" s="19" t="s">
        <v>21</v>
      </c>
      <c r="E63" s="20">
        <v>120</v>
      </c>
      <c r="F63" s="20">
        <v>0</v>
      </c>
      <c r="G63" s="20">
        <v>0</v>
      </c>
      <c r="H63" s="21">
        <v>0</v>
      </c>
      <c r="I63" s="22">
        <f>H63*E63</f>
        <v>0</v>
      </c>
      <c r="J63" s="23" t="str">
        <f t="shared" si="1"/>
        <v>-</v>
      </c>
      <c r="K63" s="23" t="str">
        <f t="shared" si="2"/>
        <v>-</v>
      </c>
      <c r="L63" s="22">
        <v>0</v>
      </c>
      <c r="M63" s="22">
        <v>0</v>
      </c>
      <c r="N63" s="45"/>
    </row>
    <row r="64" spans="1:14" x14ac:dyDescent="0.25">
      <c r="A64" s="16"/>
      <c r="B64" s="17"/>
      <c r="C64" s="18"/>
      <c r="D64" s="19" t="s">
        <v>22</v>
      </c>
      <c r="E64" s="20">
        <v>300</v>
      </c>
      <c r="F64" s="20">
        <v>0</v>
      </c>
      <c r="G64" s="20">
        <f>F64*E64</f>
        <v>0</v>
      </c>
      <c r="H64" s="21">
        <v>0</v>
      </c>
      <c r="I64" s="22">
        <f>H64*E64</f>
        <v>0</v>
      </c>
      <c r="J64" s="23">
        <f t="shared" si="1"/>
        <v>-1</v>
      </c>
      <c r="K64" s="23">
        <f t="shared" si="2"/>
        <v>-1</v>
      </c>
      <c r="L64" s="22">
        <v>5</v>
      </c>
      <c r="M64" s="22">
        <v>1800</v>
      </c>
      <c r="N64" s="45"/>
    </row>
    <row r="65" spans="1:14" x14ac:dyDescent="0.25">
      <c r="A65" s="16"/>
      <c r="B65" s="17"/>
      <c r="C65" s="18"/>
      <c r="D65" s="25" t="s">
        <v>23</v>
      </c>
      <c r="E65" s="25"/>
      <c r="F65" s="26">
        <f>SUM(F62:F64)</f>
        <v>0</v>
      </c>
      <c r="G65" s="26">
        <f>SUM(G62:G64)</f>
        <v>0</v>
      </c>
      <c r="H65" s="26">
        <f>SUM(H62:H64)</f>
        <v>0</v>
      </c>
      <c r="I65" s="26">
        <f>SUM(I62:I64)</f>
        <v>0</v>
      </c>
      <c r="J65" s="23">
        <f t="shared" si="1"/>
        <v>-1</v>
      </c>
      <c r="K65" s="23">
        <f t="shared" si="2"/>
        <v>-1</v>
      </c>
      <c r="L65" s="26">
        <f>SUM(L62:L64)</f>
        <v>10</v>
      </c>
      <c r="M65" s="26">
        <f>SUM(M62:M64)</f>
        <v>2820</v>
      </c>
      <c r="N65" s="45"/>
    </row>
    <row r="66" spans="1:14" x14ac:dyDescent="0.25">
      <c r="A66" s="16"/>
      <c r="B66" s="17"/>
      <c r="C66" s="18" t="s">
        <v>24</v>
      </c>
      <c r="D66" s="19" t="s">
        <v>25</v>
      </c>
      <c r="E66" s="20">
        <v>440</v>
      </c>
      <c r="F66" s="20">
        <v>0</v>
      </c>
      <c r="G66" s="20">
        <f>F66*E66</f>
        <v>0</v>
      </c>
      <c r="H66" s="21">
        <v>0</v>
      </c>
      <c r="I66" s="22">
        <f>H66*E66</f>
        <v>0</v>
      </c>
      <c r="J66" s="23">
        <f t="shared" si="1"/>
        <v>-1</v>
      </c>
      <c r="K66" s="23">
        <f t="shared" si="2"/>
        <v>-1</v>
      </c>
      <c r="L66" s="22">
        <v>3</v>
      </c>
      <c r="M66" s="22">
        <v>1770</v>
      </c>
      <c r="N66" s="45"/>
    </row>
    <row r="67" spans="1:14" x14ac:dyDescent="0.25">
      <c r="A67" s="16"/>
      <c r="B67" s="17"/>
      <c r="C67" s="18"/>
      <c r="D67" s="19" t="s">
        <v>26</v>
      </c>
      <c r="E67" s="20">
        <v>520</v>
      </c>
      <c r="F67" s="20">
        <v>0</v>
      </c>
      <c r="G67" s="20">
        <v>0</v>
      </c>
      <c r="H67" s="21">
        <v>0</v>
      </c>
      <c r="I67" s="22">
        <f>H67*E67</f>
        <v>0</v>
      </c>
      <c r="J67" s="23">
        <f t="shared" si="1"/>
        <v>-1</v>
      </c>
      <c r="K67" s="23">
        <f t="shared" si="2"/>
        <v>-1</v>
      </c>
      <c r="L67" s="22">
        <v>3</v>
      </c>
      <c r="M67" s="22">
        <v>2160</v>
      </c>
      <c r="N67" s="45"/>
    </row>
    <row r="68" spans="1:14" x14ac:dyDescent="0.25">
      <c r="A68" s="16"/>
      <c r="B68" s="17"/>
      <c r="C68" s="18"/>
      <c r="D68" s="19" t="s">
        <v>27</v>
      </c>
      <c r="E68" s="20">
        <v>600</v>
      </c>
      <c r="F68" s="20">
        <v>0</v>
      </c>
      <c r="G68" s="20">
        <f>F68*E68</f>
        <v>0</v>
      </c>
      <c r="H68" s="21">
        <v>0</v>
      </c>
      <c r="I68" s="22">
        <f>H68*E68</f>
        <v>0</v>
      </c>
      <c r="J68" s="23" t="str">
        <f t="shared" si="1"/>
        <v>-</v>
      </c>
      <c r="K68" s="23" t="str">
        <f t="shared" si="2"/>
        <v>-</v>
      </c>
      <c r="L68" s="22">
        <v>0</v>
      </c>
      <c r="M68" s="22">
        <v>0</v>
      </c>
      <c r="N68" s="45"/>
    </row>
    <row r="69" spans="1:14" x14ac:dyDescent="0.25">
      <c r="A69" s="16"/>
      <c r="B69" s="17"/>
      <c r="C69" s="18"/>
      <c r="D69" s="25" t="s">
        <v>23</v>
      </c>
      <c r="E69" s="25"/>
      <c r="F69" s="26">
        <f>SUM(F66:F68)</f>
        <v>0</v>
      </c>
      <c r="G69" s="26">
        <f>SUM(G66:G68)</f>
        <v>0</v>
      </c>
      <c r="H69" s="26">
        <f>SUM(H66:H68)</f>
        <v>0</v>
      </c>
      <c r="I69" s="26">
        <f>SUM(I66:I68)</f>
        <v>0</v>
      </c>
      <c r="J69" s="23">
        <f t="shared" si="1"/>
        <v>-1</v>
      </c>
      <c r="K69" s="23">
        <f t="shared" si="2"/>
        <v>-1</v>
      </c>
      <c r="L69" s="26">
        <f>SUM(L66:L68)</f>
        <v>6</v>
      </c>
      <c r="M69" s="26">
        <f>SUM(M66:M68)</f>
        <v>3930</v>
      </c>
      <c r="N69" s="45"/>
    </row>
    <row r="70" spans="1:14" x14ac:dyDescent="0.25">
      <c r="A70" s="16"/>
      <c r="B70" s="17"/>
      <c r="C70" s="27" t="s">
        <v>28</v>
      </c>
      <c r="D70" s="27"/>
      <c r="E70" s="28">
        <v>0</v>
      </c>
      <c r="F70" s="29">
        <f>SUM(F65,F69)</f>
        <v>0</v>
      </c>
      <c r="G70" s="29">
        <f>SUM(G65,G69)</f>
        <v>0</v>
      </c>
      <c r="H70" s="29">
        <f>H69+H65</f>
        <v>0</v>
      </c>
      <c r="I70" s="29">
        <f>I69+I65</f>
        <v>0</v>
      </c>
      <c r="J70" s="23">
        <f t="shared" si="1"/>
        <v>-1</v>
      </c>
      <c r="K70" s="23">
        <f t="shared" si="2"/>
        <v>-1</v>
      </c>
      <c r="L70" s="29">
        <f>L69+L65</f>
        <v>16</v>
      </c>
      <c r="M70" s="29">
        <f>M69+M65</f>
        <v>6750</v>
      </c>
      <c r="N70" s="45"/>
    </row>
    <row r="71" spans="1:14" x14ac:dyDescent="0.25">
      <c r="A71" s="30" t="s">
        <v>45</v>
      </c>
      <c r="B71" s="31"/>
      <c r="C71" s="31"/>
      <c r="D71" s="31"/>
      <c r="E71" s="31"/>
      <c r="F71" s="32">
        <f>F70+F61+F52</f>
        <v>0</v>
      </c>
      <c r="G71" s="32">
        <f>G70+G61+G52</f>
        <v>0</v>
      </c>
      <c r="H71" s="32">
        <f>H70+H61+H52</f>
        <v>0</v>
      </c>
      <c r="I71" s="32">
        <f>I70+I61+I52</f>
        <v>0</v>
      </c>
      <c r="J71" s="23">
        <f t="shared" si="1"/>
        <v>-1</v>
      </c>
      <c r="K71" s="23">
        <f t="shared" si="2"/>
        <v>-1</v>
      </c>
      <c r="L71" s="32">
        <f>L70+L61+L52</f>
        <v>21</v>
      </c>
      <c r="M71" s="32">
        <f>M70+M61+M52</f>
        <v>9000</v>
      </c>
      <c r="N71" s="45"/>
    </row>
    <row r="72" ht="16.5" customHeight="1" spans="1:14" x14ac:dyDescent="0.25">
      <c r="A72" s="46" t="s">
        <v>46</v>
      </c>
      <c r="B72" s="47" t="s">
        <v>47</v>
      </c>
      <c r="C72" s="48" t="s">
        <v>18</v>
      </c>
      <c r="D72" s="48" t="s">
        <v>48</v>
      </c>
      <c r="E72" s="48"/>
      <c r="F72" s="35"/>
      <c r="G72" s="35"/>
      <c r="H72" s="35"/>
      <c r="I72" s="35"/>
      <c r="J72" s="23">
        <f t="shared" ref="J72:J82" si="3">IFERROR(H72/L72-1,"-")</f>
        <v>-1</v>
      </c>
      <c r="K72" s="23">
        <f t="shared" ref="K72:K82" si="4">IFERROR(I72/M72-1,"-")</f>
        <v>-1</v>
      </c>
      <c r="L72" s="35">
        <v>15</v>
      </c>
      <c r="M72" s="35">
        <f>1690+910</f>
        <v>2600</v>
      </c>
      <c r="N72" s="49"/>
    </row>
    <row r="73" spans="1:14" x14ac:dyDescent="0.25">
      <c r="A73" s="46"/>
      <c r="B73" s="47"/>
      <c r="C73" s="48"/>
      <c r="D73" s="48" t="s">
        <v>49</v>
      </c>
      <c r="E73" s="48"/>
      <c r="F73" s="35"/>
      <c r="G73" s="35"/>
      <c r="H73" s="35"/>
      <c r="I73" s="35"/>
      <c r="J73" s="23" t="str">
        <f t="shared" si="3"/>
        <v>-</v>
      </c>
      <c r="K73" s="23" t="str">
        <f t="shared" si="4"/>
        <v>-</v>
      </c>
      <c r="L73" s="35">
        <v>0</v>
      </c>
      <c r="M73" s="35">
        <v>0</v>
      </c>
      <c r="N73" s="49"/>
    </row>
    <row r="74" spans="1:14" x14ac:dyDescent="0.25">
      <c r="A74" s="46"/>
      <c r="B74" s="47"/>
      <c r="C74" s="48"/>
      <c r="D74" s="48" t="s">
        <v>22</v>
      </c>
      <c r="E74" s="48"/>
      <c r="F74" s="35"/>
      <c r="G74" s="35"/>
      <c r="H74" s="35"/>
      <c r="I74" s="35"/>
      <c r="J74" s="23">
        <f t="shared" si="3"/>
        <v>-1</v>
      </c>
      <c r="K74" s="23">
        <f t="shared" si="4"/>
        <v>-1</v>
      </c>
      <c r="L74" s="35">
        <v>1</v>
      </c>
      <c r="M74" s="35">
        <v>310</v>
      </c>
      <c r="N74" s="49"/>
    </row>
    <row r="75" spans="1:14" x14ac:dyDescent="0.25">
      <c r="A75" s="46"/>
      <c r="B75" s="47"/>
      <c r="C75" s="48"/>
      <c r="D75" s="50" t="s">
        <v>23</v>
      </c>
      <c r="E75" s="50"/>
      <c r="F75" s="37">
        <f>SUM(F72:F74)</f>
        <v>0</v>
      </c>
      <c r="G75" s="37">
        <f>SUM(G72:G74)</f>
        <v>0</v>
      </c>
      <c r="H75" s="37">
        <f>SUM(H72:H74)</f>
        <v>0</v>
      </c>
      <c r="I75" s="37">
        <f>SUM(I72:I74)</f>
        <v>0</v>
      </c>
      <c r="J75" s="23">
        <f t="shared" si="3"/>
        <v>-1</v>
      </c>
      <c r="K75" s="23">
        <f t="shared" si="4"/>
        <v>-1</v>
      </c>
      <c r="L75" s="37">
        <f>SUM(L72:L74)</f>
        <v>16</v>
      </c>
      <c r="M75" s="37">
        <f>SUM(M72:M74)</f>
        <v>2910</v>
      </c>
      <c r="N75" s="49"/>
    </row>
    <row r="76" spans="1:14" x14ac:dyDescent="0.25">
      <c r="A76" s="46"/>
      <c r="B76" s="47"/>
      <c r="C76" s="48" t="s">
        <v>24</v>
      </c>
      <c r="D76" s="48" t="s">
        <v>25</v>
      </c>
      <c r="E76" s="48"/>
      <c r="F76" s="35"/>
      <c r="G76" s="35"/>
      <c r="H76" s="35"/>
      <c r="I76" s="35"/>
      <c r="J76" s="23">
        <f t="shared" si="3"/>
        <v>-1</v>
      </c>
      <c r="K76" s="23">
        <f t="shared" si="4"/>
        <v>-1</v>
      </c>
      <c r="L76" s="35">
        <f>33+4+1+9</f>
        <v>47</v>
      </c>
      <c r="M76" s="35">
        <f>14520+1760+490+4410</f>
        <v>21180</v>
      </c>
      <c r="N76" s="49"/>
    </row>
    <row r="77" spans="1:14" x14ac:dyDescent="0.25">
      <c r="A77" s="46"/>
      <c r="B77" s="47"/>
      <c r="C77" s="48"/>
      <c r="D77" s="48" t="s">
        <v>26</v>
      </c>
      <c r="E77" s="48"/>
      <c r="F77" s="35"/>
      <c r="G77" s="35"/>
      <c r="H77" s="35"/>
      <c r="I77" s="35"/>
      <c r="J77" s="23">
        <f t="shared" si="3"/>
        <v>-1</v>
      </c>
      <c r="K77" s="23">
        <f t="shared" si="4"/>
        <v>-1</v>
      </c>
      <c r="L77" s="35">
        <f>34+6</f>
        <v>40</v>
      </c>
      <c r="M77" s="35">
        <f>17680+3420</f>
        <v>21100</v>
      </c>
      <c r="N77" s="49"/>
    </row>
    <row r="78" spans="1:14" x14ac:dyDescent="0.25">
      <c r="A78" s="46"/>
      <c r="B78" s="47"/>
      <c r="C78" s="48"/>
      <c r="D78" s="48" t="s">
        <v>27</v>
      </c>
      <c r="E78" s="48"/>
      <c r="F78" s="35"/>
      <c r="G78" s="35"/>
      <c r="H78" s="35"/>
      <c r="I78" s="35"/>
      <c r="J78" s="23" t="str">
        <f t="shared" si="3"/>
        <v>-</v>
      </c>
      <c r="K78" s="23" t="str">
        <f t="shared" si="4"/>
        <v>-</v>
      </c>
      <c r="L78" s="35">
        <v>0</v>
      </c>
      <c r="M78" s="35">
        <v>0</v>
      </c>
      <c r="N78" s="49"/>
    </row>
    <row r="79" spans="1:14" x14ac:dyDescent="0.25">
      <c r="A79" s="46"/>
      <c r="B79" s="47"/>
      <c r="C79" s="48"/>
      <c r="D79" s="48" t="s">
        <v>23</v>
      </c>
      <c r="E79" s="48"/>
      <c r="F79" s="35">
        <f>SUM(F76:F78)</f>
        <v>0</v>
      </c>
      <c r="G79" s="35">
        <f>SUM(G76:G78)</f>
        <v>0</v>
      </c>
      <c r="H79" s="35">
        <f>SUM(H76:H78)</f>
        <v>0</v>
      </c>
      <c r="I79" s="35">
        <f>SUM(I76:I78)</f>
        <v>0</v>
      </c>
      <c r="J79" s="23">
        <f t="shared" si="3"/>
        <v>-1</v>
      </c>
      <c r="K79" s="23">
        <f t="shared" si="4"/>
        <v>-1</v>
      </c>
      <c r="L79" s="35">
        <f>SUM(L76:L78)</f>
        <v>87</v>
      </c>
      <c r="M79" s="35">
        <f>SUM(M76:M78)</f>
        <v>42280</v>
      </c>
      <c r="N79" s="49"/>
    </row>
    <row r="80" spans="1:14" x14ac:dyDescent="0.25">
      <c r="A80" s="46"/>
      <c r="B80" s="47"/>
      <c r="C80" s="48" t="s">
        <v>50</v>
      </c>
      <c r="D80" s="48" t="s">
        <v>26</v>
      </c>
      <c r="E80" s="48"/>
      <c r="F80" s="35"/>
      <c r="G80" s="35"/>
      <c r="H80" s="35"/>
      <c r="I80" s="35"/>
      <c r="J80" s="23" t="str">
        <f t="shared" si="3"/>
        <v>-</v>
      </c>
      <c r="K80" s="23" t="str">
        <f t="shared" si="4"/>
        <v>-</v>
      </c>
      <c r="L80" s="35">
        <v>0</v>
      </c>
      <c r="M80" s="35">
        <v>0</v>
      </c>
      <c r="N80" s="49"/>
    </row>
    <row r="81" spans="1:14" x14ac:dyDescent="0.25">
      <c r="A81" s="46"/>
      <c r="B81" s="47"/>
      <c r="C81" s="48"/>
      <c r="D81" s="50" t="s">
        <v>23</v>
      </c>
      <c r="E81" s="50"/>
      <c r="F81" s="37">
        <f>SUM(F80)</f>
        <v>0</v>
      </c>
      <c r="G81" s="37">
        <f>SUM(G80)</f>
        <v>0</v>
      </c>
      <c r="H81" s="37">
        <f>SUM(H80)</f>
        <v>0</v>
      </c>
      <c r="I81" s="37">
        <f>SUM(I80)</f>
        <v>0</v>
      </c>
      <c r="J81" s="23" t="str">
        <f t="shared" si="3"/>
        <v>-</v>
      </c>
      <c r="K81" s="23" t="str">
        <f t="shared" si="4"/>
        <v>-</v>
      </c>
      <c r="L81" s="37">
        <f>SUM(L80)</f>
        <v>0</v>
      </c>
      <c r="M81" s="37">
        <f>SUM(M80)</f>
        <v>0</v>
      </c>
      <c r="N81" s="49"/>
    </row>
    <row r="82" spans="1:14" x14ac:dyDescent="0.25">
      <c r="A82" s="51" t="s">
        <v>28</v>
      </c>
      <c r="B82" s="52"/>
      <c r="C82" s="52"/>
      <c r="D82" s="52"/>
      <c r="E82" s="52"/>
      <c r="F82" s="53">
        <f>F81+F79+F75</f>
        <v>0</v>
      </c>
      <c r="G82" s="53">
        <f>G81+G79+G75</f>
        <v>0</v>
      </c>
      <c r="H82" s="53">
        <f>H81+H79+H75</f>
        <v>0</v>
      </c>
      <c r="I82" s="53">
        <f>I81+I79+I75</f>
        <v>0</v>
      </c>
      <c r="J82" s="23">
        <f t="shared" si="3"/>
        <v>-1</v>
      </c>
      <c r="K82" s="23">
        <f t="shared" si="4"/>
        <v>-1</v>
      </c>
      <c r="L82" s="53">
        <f>L81+L79+L75</f>
        <v>103</v>
      </c>
      <c r="M82" s="53">
        <f>M81+M79+M75</f>
        <v>45190</v>
      </c>
      <c r="N82" s="54"/>
    </row>
    <row r="83" spans="1:14" x14ac:dyDescent="0.25">
      <c r="A83" s="55" t="s">
        <v>51</v>
      </c>
      <c r="B83" s="55"/>
      <c r="C83" s="55"/>
      <c r="D83" s="55"/>
      <c r="E83" s="55"/>
      <c r="F83" s="56">
        <f>F82+F71+F43+F34</f>
        <v>6</v>
      </c>
      <c r="G83" s="56">
        <f>G82+G71+G43+G34</f>
        <v>2790</v>
      </c>
      <c r="H83" s="56">
        <f>H82+H71+H43+H34</f>
        <v>6</v>
      </c>
      <c r="I83" s="56">
        <f>I82+I71+I43+I34</f>
        <v>3310</v>
      </c>
      <c r="J83" s="57"/>
      <c r="K83" s="57"/>
      <c r="L83" s="56">
        <f>L82+L71+L43+L34</f>
        <v>361</v>
      </c>
      <c r="M83" s="56">
        <f>M82+M71+M43+M34</f>
        <v>165770</v>
      </c>
      <c r="N83" s="57"/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D15"/>
    <mergeCell ref="B16:B24"/>
    <mergeCell ref="C16:C19"/>
    <mergeCell ref="D19:E19"/>
    <mergeCell ref="C20:C23"/>
    <mergeCell ref="D23:E23"/>
    <mergeCell ref="C24:D24"/>
    <mergeCell ref="B25:B33"/>
    <mergeCell ref="C25:C28"/>
    <mergeCell ref="D28:E28"/>
    <mergeCell ref="C29:C32"/>
    <mergeCell ref="D32:E32"/>
    <mergeCell ref="C33:D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D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N83" sqref="N83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52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53</v>
      </c>
      <c r="G5" s="61"/>
      <c r="H5" s="62" t="s">
        <v>8</v>
      </c>
      <c r="I5" s="63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70" t="s">
        <v>13</v>
      </c>
      <c r="H6" s="71" t="s">
        <v>14</v>
      </c>
      <c r="I6" s="7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74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77">
        <f>F7*E7</f>
        <v>0</v>
      </c>
      <c r="H7" s="79">
        <f>F7</f>
        <v>0</v>
      </c>
      <c r="I7" s="80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80">
        <f>690+1210</f>
        <v>1900</v>
      </c>
      <c r="N7" s="84" t="s">
        <v>20</v>
      </c>
    </row>
    <row r="8" spans="1:14" x14ac:dyDescent="0.25">
      <c r="A8" s="85"/>
      <c r="B8" s="86"/>
      <c r="C8" s="87"/>
      <c r="D8" s="19" t="s">
        <v>21</v>
      </c>
      <c r="E8" s="88">
        <v>180</v>
      </c>
      <c r="F8" s="89">
        <v>0</v>
      </c>
      <c r="G8" s="88">
        <v>0</v>
      </c>
      <c r="H8" s="90">
        <v>0</v>
      </c>
      <c r="I8" s="91">
        <f>H8*E8</f>
        <v>0</v>
      </c>
      <c r="J8" s="92" t="str">
        <f t="shared" si="0"/>
        <v>-</v>
      </c>
      <c r="K8" s="93" t="str">
        <f t="shared" si="0"/>
        <v>-</v>
      </c>
      <c r="L8" s="94"/>
      <c r="M8" s="91"/>
      <c r="N8" s="95"/>
    </row>
    <row r="9" spans="1:14" x14ac:dyDescent="0.25">
      <c r="A9" s="85"/>
      <c r="B9" s="86"/>
      <c r="C9" s="87"/>
      <c r="D9" s="19" t="s">
        <v>22</v>
      </c>
      <c r="E9" s="88">
        <v>420</v>
      </c>
      <c r="F9" s="89">
        <v>0</v>
      </c>
      <c r="G9" s="88">
        <f>F9*E9</f>
        <v>0</v>
      </c>
      <c r="H9" s="90">
        <v>0</v>
      </c>
      <c r="I9" s="91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91">
        <v>430</v>
      </c>
      <c r="N9" s="95"/>
    </row>
    <row r="10" spans="1:14" x14ac:dyDescent="0.25">
      <c r="A10" s="85"/>
      <c r="B10" s="86"/>
      <c r="C10" s="96"/>
      <c r="D10" s="97" t="s">
        <v>23</v>
      </c>
      <c r="E10" s="98"/>
      <c r="F10" s="99">
        <f>SUM(F7:F9)</f>
        <v>0</v>
      </c>
      <c r="G10" s="100">
        <f>SUM(G7:G9)</f>
        <v>0</v>
      </c>
      <c r="H10" s="99">
        <f>SUM(H7:H9)</f>
        <v>0</v>
      </c>
      <c r="I10" s="100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100">
        <f>SUM(M7:M9)</f>
        <v>2330</v>
      </c>
      <c r="N10" s="103"/>
    </row>
    <row r="11" spans="1:14" x14ac:dyDescent="0.25">
      <c r="A11" s="85"/>
      <c r="B11" s="86"/>
      <c r="C11" s="104" t="s">
        <v>24</v>
      </c>
      <c r="D11" s="105" t="s">
        <v>25</v>
      </c>
      <c r="E11" s="106">
        <v>550</v>
      </c>
      <c r="F11" s="107">
        <v>1</v>
      </c>
      <c r="G11" s="106">
        <f>F11*E11</f>
        <v>550</v>
      </c>
      <c r="H11" s="108">
        <v>1</v>
      </c>
      <c r="I11" s="109">
        <f>H11*E11</f>
        <v>550</v>
      </c>
      <c r="J11" s="110">
        <f t="shared" si="0"/>
        <v>-0.95</v>
      </c>
      <c r="K11" s="111">
        <f t="shared" si="0"/>
        <v>-0.9481132075471698</v>
      </c>
      <c r="L11" s="112">
        <v>20</v>
      </c>
      <c r="M11" s="109">
        <f>1060+9540</f>
        <v>10600</v>
      </c>
      <c r="N11" s="113"/>
    </row>
    <row r="12" spans="1:14" x14ac:dyDescent="0.25">
      <c r="A12" s="85"/>
      <c r="B12" s="86"/>
      <c r="C12" s="87"/>
      <c r="D12" s="19" t="s">
        <v>26</v>
      </c>
      <c r="E12" s="88">
        <v>675</v>
      </c>
      <c r="F12" s="89"/>
      <c r="G12" s="88"/>
      <c r="H12" s="90">
        <v>0</v>
      </c>
      <c r="I12" s="91">
        <f>H12*E12</f>
        <v>0</v>
      </c>
      <c r="J12" s="92">
        <f t="shared" si="0"/>
        <v>-1</v>
      </c>
      <c r="K12" s="93">
        <f t="shared" si="0"/>
        <v>-1</v>
      </c>
      <c r="L12" s="94">
        <v>28</v>
      </c>
      <c r="M12" s="91">
        <f>9600+7680</f>
        <v>17280</v>
      </c>
      <c r="N12" s="95"/>
    </row>
    <row r="13" spans="1:14" x14ac:dyDescent="0.25">
      <c r="A13" s="85"/>
      <c r="B13" s="86"/>
      <c r="C13" s="87"/>
      <c r="D13" s="19" t="s">
        <v>27</v>
      </c>
      <c r="E13" s="88">
        <v>810</v>
      </c>
      <c r="F13" s="89">
        <v>0</v>
      </c>
      <c r="G13" s="88">
        <f>F13*E13</f>
        <v>0</v>
      </c>
      <c r="H13" s="90">
        <v>0</v>
      </c>
      <c r="I13" s="91">
        <f>H13*E13</f>
        <v>0</v>
      </c>
      <c r="J13" s="92" t="str">
        <f t="shared" si="0"/>
        <v>-</v>
      </c>
      <c r="K13" s="93" t="str">
        <f t="shared" si="0"/>
        <v>-</v>
      </c>
      <c r="L13" s="94">
        <v>0</v>
      </c>
      <c r="M13" s="91">
        <v>0</v>
      </c>
      <c r="N13" s="95"/>
    </row>
    <row r="14" spans="1:14" x14ac:dyDescent="0.25">
      <c r="A14" s="85"/>
      <c r="B14" s="86"/>
      <c r="C14" s="87"/>
      <c r="D14" s="114" t="s">
        <v>23</v>
      </c>
      <c r="E14" s="115"/>
      <c r="F14" s="116">
        <f>SUM(F11:F13)</f>
        <v>1</v>
      </c>
      <c r="G14" s="117">
        <f>SUM(G11:G13)</f>
        <v>550</v>
      </c>
      <c r="H14" s="116">
        <f>SUM(H11:H13)</f>
        <v>1</v>
      </c>
      <c r="I14" s="117">
        <f>SUM(I11:I13)</f>
        <v>550</v>
      </c>
      <c r="J14" s="118">
        <f t="shared" si="0"/>
        <v>-0.9791666666666666</v>
      </c>
      <c r="K14" s="119">
        <f t="shared" si="0"/>
        <v>-0.9802725968436155</v>
      </c>
      <c r="L14" s="116">
        <f>SUM(L11:L13)</f>
        <v>48</v>
      </c>
      <c r="M14" s="117">
        <f>SUM(M11:M13)</f>
        <v>27880</v>
      </c>
      <c r="N14" s="95"/>
    </row>
    <row r="15" spans="1:14" x14ac:dyDescent="0.25">
      <c r="A15" s="85"/>
      <c r="B15" s="120"/>
      <c r="C15" s="121" t="s">
        <v>28</v>
      </c>
      <c r="D15" s="121"/>
      <c r="E15" s="122"/>
      <c r="F15" s="123">
        <f>SUM(F10,F14)</f>
        <v>1</v>
      </c>
      <c r="G15" s="124">
        <f>SUM(G10,G14)</f>
        <v>550</v>
      </c>
      <c r="H15" s="123">
        <f>H14+H10</f>
        <v>1</v>
      </c>
      <c r="I15" s="124">
        <f>I14+I10</f>
        <v>550</v>
      </c>
      <c r="J15" s="125">
        <f t="shared" si="0"/>
        <v>-0.9824561403508771</v>
      </c>
      <c r="K15" s="126">
        <f t="shared" si="0"/>
        <v>-0.9817941079112876</v>
      </c>
      <c r="L15" s="123">
        <f>SUM(L10,L14)</f>
        <v>57</v>
      </c>
      <c r="M15" s="124">
        <f>SUM(M10,M14)</f>
        <v>30210</v>
      </c>
      <c r="N15" s="103"/>
    </row>
    <row r="16" spans="1:14" x14ac:dyDescent="0.25">
      <c r="A16" s="85"/>
      <c r="B16" s="127" t="s">
        <v>29</v>
      </c>
      <c r="C16" s="75" t="s">
        <v>18</v>
      </c>
      <c r="D16" s="76" t="s">
        <v>19</v>
      </c>
      <c r="E16" s="77">
        <v>190</v>
      </c>
      <c r="F16" s="78">
        <v>0</v>
      </c>
      <c r="G16" s="77">
        <f>F16*E16</f>
        <v>0</v>
      </c>
      <c r="H16" s="79">
        <v>0</v>
      </c>
      <c r="I16" s="80">
        <f>H16*E16</f>
        <v>0</v>
      </c>
      <c r="J16" s="81">
        <f t="shared" si="0"/>
        <v>-1</v>
      </c>
      <c r="K16" s="82">
        <f t="shared" si="0"/>
        <v>-1</v>
      </c>
      <c r="L16" s="83">
        <v>5</v>
      </c>
      <c r="M16" s="80">
        <v>670</v>
      </c>
      <c r="N16" s="84" t="s">
        <v>30</v>
      </c>
    </row>
    <row r="17" spans="1:14" x14ac:dyDescent="0.25">
      <c r="A17" s="85"/>
      <c r="B17" s="86"/>
      <c r="C17" s="87"/>
      <c r="D17" s="19" t="s">
        <v>21</v>
      </c>
      <c r="E17" s="88">
        <v>120</v>
      </c>
      <c r="F17" s="89"/>
      <c r="G17" s="88"/>
      <c r="H17" s="90">
        <v>0</v>
      </c>
      <c r="I17" s="91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91">
        <v>430</v>
      </c>
      <c r="N17" s="95"/>
    </row>
    <row r="18" spans="1:14" x14ac:dyDescent="0.25">
      <c r="A18" s="85"/>
      <c r="B18" s="86"/>
      <c r="C18" s="87"/>
      <c r="D18" s="19" t="s">
        <v>22</v>
      </c>
      <c r="E18" s="88">
        <v>300</v>
      </c>
      <c r="F18" s="89">
        <v>0</v>
      </c>
      <c r="G18" s="88">
        <f>F18*E18</f>
        <v>0</v>
      </c>
      <c r="H18" s="90">
        <v>0</v>
      </c>
      <c r="I18" s="91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91">
        <v>0</v>
      </c>
      <c r="N18" s="95" t="s">
        <v>31</v>
      </c>
    </row>
    <row r="19" spans="1:14" x14ac:dyDescent="0.25">
      <c r="A19" s="85"/>
      <c r="B19" s="86"/>
      <c r="C19" s="96"/>
      <c r="D19" s="97" t="s">
        <v>23</v>
      </c>
      <c r="E19" s="98"/>
      <c r="F19" s="99">
        <f>SUM(F16:F18)</f>
        <v>0</v>
      </c>
      <c r="G19" s="100">
        <f>SUM(G16:G18)</f>
        <v>0</v>
      </c>
      <c r="H19" s="99">
        <f>SUM(H16:H18)</f>
        <v>0</v>
      </c>
      <c r="I19" s="100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100">
        <f>SUM(M16:M18)</f>
        <v>1100</v>
      </c>
      <c r="N19" s="103" t="s">
        <v>32</v>
      </c>
    </row>
    <row r="20" spans="1:14" x14ac:dyDescent="0.25">
      <c r="A20" s="85"/>
      <c r="B20" s="86"/>
      <c r="C20" s="104" t="s">
        <v>24</v>
      </c>
      <c r="D20" s="105" t="s">
        <v>25</v>
      </c>
      <c r="E20" s="106">
        <v>440</v>
      </c>
      <c r="F20" s="107">
        <v>0</v>
      </c>
      <c r="G20" s="106">
        <f>F20*E20</f>
        <v>0</v>
      </c>
      <c r="H20" s="108">
        <v>0</v>
      </c>
      <c r="I20" s="109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109">
        <f>1320+5720+440</f>
        <v>7480</v>
      </c>
      <c r="N20" s="113" t="s">
        <v>33</v>
      </c>
    </row>
    <row r="21" spans="1:14" x14ac:dyDescent="0.25">
      <c r="A21" s="85"/>
      <c r="B21" s="86"/>
      <c r="C21" s="87"/>
      <c r="D21" s="19" t="s">
        <v>26</v>
      </c>
      <c r="E21" s="88">
        <v>520</v>
      </c>
      <c r="F21" s="89"/>
      <c r="G21" s="88"/>
      <c r="H21" s="90">
        <v>0</v>
      </c>
      <c r="I21" s="91">
        <f>H21*E21</f>
        <v>0</v>
      </c>
      <c r="J21" s="92">
        <f t="shared" si="0"/>
        <v>-1</v>
      </c>
      <c r="K21" s="93">
        <f t="shared" si="0"/>
        <v>-1</v>
      </c>
      <c r="L21" s="94">
        <f>9+4</f>
        <v>13</v>
      </c>
      <c r="M21" s="91">
        <f>1560+3120+2080</f>
        <v>6760</v>
      </c>
      <c r="N21" s="95"/>
    </row>
    <row r="22" spans="1:14" x14ac:dyDescent="0.25">
      <c r="A22" s="85"/>
      <c r="B22" s="86"/>
      <c r="C22" s="87"/>
      <c r="D22" s="19" t="s">
        <v>27</v>
      </c>
      <c r="E22" s="88">
        <v>600</v>
      </c>
      <c r="F22" s="89">
        <v>0</v>
      </c>
      <c r="G22" s="88">
        <f>F22*E22</f>
        <v>0</v>
      </c>
      <c r="H22" s="90">
        <v>0</v>
      </c>
      <c r="I22" s="91">
        <f>H22*E22</f>
        <v>0</v>
      </c>
      <c r="J22" s="92" t="str">
        <f t="shared" si="0"/>
        <v>-</v>
      </c>
      <c r="K22" s="93" t="str">
        <f t="shared" si="0"/>
        <v>-</v>
      </c>
      <c r="L22" s="94"/>
      <c r="M22" s="91"/>
      <c r="N22" s="95"/>
    </row>
    <row r="23" spans="1:14" x14ac:dyDescent="0.25">
      <c r="A23" s="85"/>
      <c r="B23" s="86"/>
      <c r="C23" s="87"/>
      <c r="D23" s="114" t="s">
        <v>23</v>
      </c>
      <c r="E23" s="115"/>
      <c r="F23" s="116">
        <f>SUM(F20:F22)</f>
        <v>0</v>
      </c>
      <c r="G23" s="117">
        <f>SUM(G20:G22)</f>
        <v>0</v>
      </c>
      <c r="H23" s="116">
        <f>SUM(H20:H22)</f>
        <v>0</v>
      </c>
      <c r="I23" s="117">
        <f>SUM(I20:I22)</f>
        <v>0</v>
      </c>
      <c r="J23" s="118">
        <f t="shared" si="0"/>
        <v>-1</v>
      </c>
      <c r="K23" s="119">
        <f t="shared" si="0"/>
        <v>-1</v>
      </c>
      <c r="L23" s="116">
        <f>SUM(L20:L22)</f>
        <v>30</v>
      </c>
      <c r="M23" s="117">
        <f>SUM(M20:M22)</f>
        <v>14240</v>
      </c>
      <c r="N23" s="95"/>
    </row>
    <row r="24" spans="1:14" x14ac:dyDescent="0.25">
      <c r="A24" s="85"/>
      <c r="B24" s="120"/>
      <c r="C24" s="121" t="s">
        <v>28</v>
      </c>
      <c r="D24" s="121"/>
      <c r="E24" s="122"/>
      <c r="F24" s="123">
        <f>SUM(F19,F23)</f>
        <v>0</v>
      </c>
      <c r="G24" s="124">
        <f>SUM(G19,G23)</f>
        <v>0</v>
      </c>
      <c r="H24" s="123">
        <f>H23+H19</f>
        <v>0</v>
      </c>
      <c r="I24" s="124">
        <f>I23+I19</f>
        <v>0</v>
      </c>
      <c r="J24" s="125">
        <f t="shared" si="0"/>
        <v>-1</v>
      </c>
      <c r="K24" s="126">
        <f t="shared" si="0"/>
        <v>-1</v>
      </c>
      <c r="L24" s="123">
        <f>SUM(L19,L23)</f>
        <v>38</v>
      </c>
      <c r="M24" s="124">
        <f>SUM(M19,M23)</f>
        <v>15340</v>
      </c>
      <c r="N24" s="103"/>
    </row>
    <row r="25" spans="1:14" x14ac:dyDescent="0.25">
      <c r="A25" s="85"/>
      <c r="B25" s="127" t="s">
        <v>34</v>
      </c>
      <c r="C25" s="75" t="s">
        <v>18</v>
      </c>
      <c r="D25" s="76" t="s">
        <v>19</v>
      </c>
      <c r="E25" s="77">
        <v>190</v>
      </c>
      <c r="F25" s="78">
        <v>0</v>
      </c>
      <c r="G25" s="77">
        <f>F25*E25</f>
        <v>0</v>
      </c>
      <c r="H25" s="79">
        <v>0</v>
      </c>
      <c r="I25" s="80">
        <f>H25*E25</f>
        <v>0</v>
      </c>
      <c r="J25" s="81">
        <f t="shared" si="0"/>
        <v>-1</v>
      </c>
      <c r="K25" s="82">
        <f t="shared" si="0"/>
        <v>-1</v>
      </c>
      <c r="L25" s="83">
        <v>19</v>
      </c>
      <c r="M25" s="80">
        <v>2910</v>
      </c>
      <c r="N25" s="84" t="s">
        <v>30</v>
      </c>
    </row>
    <row r="26" spans="1:14" x14ac:dyDescent="0.25">
      <c r="A26" s="85"/>
      <c r="B26" s="86"/>
      <c r="C26" s="87"/>
      <c r="D26" s="19" t="s">
        <v>21</v>
      </c>
      <c r="E26" s="88">
        <v>120</v>
      </c>
      <c r="F26" s="89"/>
      <c r="G26" s="88"/>
      <c r="H26" s="90">
        <v>0</v>
      </c>
      <c r="I26" s="91">
        <f>H26*E26</f>
        <v>0</v>
      </c>
      <c r="J26" s="92" t="str">
        <f t="shared" si="0"/>
        <v>-</v>
      </c>
      <c r="K26" s="93" t="str">
        <f t="shared" si="0"/>
        <v>-</v>
      </c>
      <c r="L26" s="94">
        <v>0</v>
      </c>
      <c r="M26" s="91">
        <v>0</v>
      </c>
      <c r="N26" s="95"/>
    </row>
    <row r="27" spans="1:14" x14ac:dyDescent="0.25">
      <c r="A27" s="85"/>
      <c r="B27" s="86"/>
      <c r="C27" s="87"/>
      <c r="D27" s="19" t="s">
        <v>22</v>
      </c>
      <c r="E27" s="88">
        <v>300</v>
      </c>
      <c r="F27" s="89">
        <v>0</v>
      </c>
      <c r="G27" s="88">
        <f>F27*E27</f>
        <v>0</v>
      </c>
      <c r="H27" s="90">
        <v>0</v>
      </c>
      <c r="I27" s="91">
        <f>H27*E27</f>
        <v>0</v>
      </c>
      <c r="J27" s="92">
        <f t="shared" si="0"/>
        <v>-1</v>
      </c>
      <c r="K27" s="93">
        <f t="shared" si="0"/>
        <v>-1</v>
      </c>
      <c r="L27" s="94">
        <v>7</v>
      </c>
      <c r="M27" s="91">
        <v>2170</v>
      </c>
      <c r="N27" s="95" t="s">
        <v>35</v>
      </c>
    </row>
    <row r="28" spans="1:14" x14ac:dyDescent="0.25">
      <c r="A28" s="85"/>
      <c r="B28" s="86"/>
      <c r="C28" s="96"/>
      <c r="D28" s="97" t="s">
        <v>23</v>
      </c>
      <c r="E28" s="98"/>
      <c r="F28" s="99">
        <f>SUM(F25:F27)</f>
        <v>0</v>
      </c>
      <c r="G28" s="100">
        <f>SUM(G25:G27)</f>
        <v>0</v>
      </c>
      <c r="H28" s="99">
        <f>SUM(H25:H27)</f>
        <v>0</v>
      </c>
      <c r="I28" s="100">
        <f>SUM(I25:I27)</f>
        <v>0</v>
      </c>
      <c r="J28" s="101">
        <f t="shared" si="0"/>
        <v>-1</v>
      </c>
      <c r="K28" s="102">
        <f t="shared" si="0"/>
        <v>-1</v>
      </c>
      <c r="L28" s="99">
        <f>SUM(L25:L27)</f>
        <v>26</v>
      </c>
      <c r="M28" s="100">
        <f>SUM(M25:M27)</f>
        <v>5080</v>
      </c>
      <c r="N28" s="103"/>
    </row>
    <row r="29" spans="1:14" x14ac:dyDescent="0.25">
      <c r="A29" s="85"/>
      <c r="B29" s="86"/>
      <c r="C29" s="104" t="s">
        <v>24</v>
      </c>
      <c r="D29" s="105" t="s">
        <v>25</v>
      </c>
      <c r="E29" s="106">
        <v>440</v>
      </c>
      <c r="F29" s="107">
        <v>1</v>
      </c>
      <c r="G29" s="106">
        <f>F29*E29</f>
        <v>440</v>
      </c>
      <c r="H29" s="108">
        <v>1</v>
      </c>
      <c r="I29" s="109">
        <f>H29*E29</f>
        <v>440</v>
      </c>
      <c r="J29" s="110">
        <f t="shared" si="0"/>
        <v>-0.9814814814814815</v>
      </c>
      <c r="K29" s="111">
        <f t="shared" si="0"/>
        <v>-0.9814814814814815</v>
      </c>
      <c r="L29" s="112">
        <v>54</v>
      </c>
      <c r="M29" s="109">
        <v>23760</v>
      </c>
      <c r="N29" s="113"/>
    </row>
    <row r="30" spans="1:14" x14ac:dyDescent="0.25">
      <c r="A30" s="85"/>
      <c r="B30" s="86"/>
      <c r="C30" s="87"/>
      <c r="D30" s="19" t="s">
        <v>26</v>
      </c>
      <c r="E30" s="88">
        <v>520</v>
      </c>
      <c r="F30" s="89">
        <v>1</v>
      </c>
      <c r="G30" s="88"/>
      <c r="H30" s="90">
        <v>1</v>
      </c>
      <c r="I30" s="91">
        <f>H30*E30</f>
        <v>520</v>
      </c>
      <c r="J30" s="92">
        <f t="shared" si="0"/>
        <v>-0.975609756097561</v>
      </c>
      <c r="K30" s="93">
        <f t="shared" si="0"/>
        <v>-0.9761904761904762</v>
      </c>
      <c r="L30" s="94">
        <v>41</v>
      </c>
      <c r="M30" s="91">
        <v>21840</v>
      </c>
      <c r="N30" s="95"/>
    </row>
    <row r="31" spans="1:14" x14ac:dyDescent="0.25">
      <c r="A31" s="85"/>
      <c r="B31" s="86"/>
      <c r="C31" s="87"/>
      <c r="D31" s="19" t="s">
        <v>27</v>
      </c>
      <c r="E31" s="88">
        <v>600</v>
      </c>
      <c r="F31" s="89">
        <v>3</v>
      </c>
      <c r="G31" s="88">
        <f>F31*E31</f>
        <v>1800</v>
      </c>
      <c r="H31" s="90">
        <v>3</v>
      </c>
      <c r="I31" s="91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91">
        <v>0</v>
      </c>
      <c r="N31" s="95"/>
    </row>
    <row r="32" spans="1:14" x14ac:dyDescent="0.25">
      <c r="A32" s="85"/>
      <c r="B32" s="86"/>
      <c r="C32" s="87"/>
      <c r="D32" s="114" t="s">
        <v>23</v>
      </c>
      <c r="E32" s="115"/>
      <c r="F32" s="116">
        <f>SUM(F29:F31)</f>
        <v>5</v>
      </c>
      <c r="G32" s="117">
        <f>SUM(G29:G31)</f>
        <v>2240</v>
      </c>
      <c r="H32" s="116">
        <f>SUM(H29:H31)</f>
        <v>5</v>
      </c>
      <c r="I32" s="117">
        <f>SUM(I29:I31)</f>
        <v>2760</v>
      </c>
      <c r="J32" s="118">
        <f t="shared" si="0"/>
        <v>-0.9473684210526316</v>
      </c>
      <c r="K32" s="119">
        <f t="shared" si="0"/>
        <v>-0.9394736842105263</v>
      </c>
      <c r="L32" s="116">
        <f>SUM(L29:L31)</f>
        <v>95</v>
      </c>
      <c r="M32" s="117">
        <f>SUM(M29:M31)</f>
        <v>45600</v>
      </c>
      <c r="N32" s="95"/>
    </row>
    <row r="33" spans="1:14" x14ac:dyDescent="0.25">
      <c r="A33" s="128"/>
      <c r="B33" s="120"/>
      <c r="C33" s="121" t="s">
        <v>28</v>
      </c>
      <c r="D33" s="121"/>
      <c r="E33" s="122"/>
      <c r="F33" s="123">
        <f>SUM(F28,F32)</f>
        <v>5</v>
      </c>
      <c r="G33" s="124">
        <f>SUM(G28,G32)</f>
        <v>2240</v>
      </c>
      <c r="H33" s="123">
        <f>H32+H28</f>
        <v>5</v>
      </c>
      <c r="I33" s="124">
        <f>I32+I28</f>
        <v>2760</v>
      </c>
      <c r="J33" s="125">
        <f t="shared" si="0"/>
        <v>-0.9586776859504132</v>
      </c>
      <c r="K33" s="126">
        <f t="shared" si="0"/>
        <v>-0.9455406471981057</v>
      </c>
      <c r="L33" s="123">
        <f>SUM(L28,L32)</f>
        <v>121</v>
      </c>
      <c r="M33" s="124">
        <f>SUM(M28,M32)</f>
        <v>50680</v>
      </c>
      <c r="N33" s="103"/>
    </row>
    <row r="34" spans="1:14" x14ac:dyDescent="0.25">
      <c r="A34" s="129" t="s">
        <v>36</v>
      </c>
      <c r="B34" s="130"/>
      <c r="C34" s="130"/>
      <c r="D34" s="130"/>
      <c r="E34" s="131"/>
      <c r="F34" s="132">
        <f>F15+F24+F33</f>
        <v>6</v>
      </c>
      <c r="G34" s="133">
        <f>G15+G24+G33</f>
        <v>2790</v>
      </c>
      <c r="H34" s="132">
        <f>H15+H24+H33</f>
        <v>6</v>
      </c>
      <c r="I34" s="133">
        <f>I15+I24+I33</f>
        <v>3310</v>
      </c>
      <c r="J34" s="134">
        <f t="shared" si="0"/>
        <v>-0.9722222222222222</v>
      </c>
      <c r="K34" s="135">
        <f t="shared" si="0"/>
        <v>-0.9656032422321521</v>
      </c>
      <c r="L34" s="132">
        <f>L33+L24+L15</f>
        <v>216</v>
      </c>
      <c r="M34" s="133">
        <f>M33+M24+M15</f>
        <v>96230</v>
      </c>
      <c r="N34" s="136"/>
    </row>
    <row r="35" ht="16.5" customHeight="1" spans="1:14" x14ac:dyDescent="0.25">
      <c r="A35" s="137" t="s">
        <v>37</v>
      </c>
      <c r="B35" s="138" t="s">
        <v>17</v>
      </c>
      <c r="C35" s="139" t="s">
        <v>38</v>
      </c>
      <c r="D35" s="138" t="s">
        <v>26</v>
      </c>
      <c r="E35" s="140">
        <v>990</v>
      </c>
      <c r="F35" s="141">
        <v>4</v>
      </c>
      <c r="G35" s="140">
        <f>F35*E35</f>
        <v>3960</v>
      </c>
      <c r="H35" s="141">
        <f>F35</f>
        <v>4</v>
      </c>
      <c r="I35" s="140">
        <f>H35*E35</f>
        <v>3960</v>
      </c>
      <c r="J35" s="81">
        <f t="shared" si="0"/>
        <v>-0.6</v>
      </c>
      <c r="K35" s="82">
        <f t="shared" si="0"/>
        <v>-0.725</v>
      </c>
      <c r="L35" s="141">
        <v>10</v>
      </c>
      <c r="M35" s="140">
        <v>14400</v>
      </c>
      <c r="N35" s="142"/>
    </row>
    <row r="36" spans="1:14" x14ac:dyDescent="0.25">
      <c r="A36" s="33"/>
      <c r="B36" s="143"/>
      <c r="C36" s="143"/>
      <c r="D36" s="97" t="s">
        <v>23</v>
      </c>
      <c r="E36" s="144">
        <v>0</v>
      </c>
      <c r="F36" s="145"/>
      <c r="G36" s="144"/>
      <c r="H36" s="145"/>
      <c r="I36" s="144"/>
      <c r="J36" s="101">
        <f t="shared" si="0"/>
        <v>-1</v>
      </c>
      <c r="K36" s="102">
        <f t="shared" si="0"/>
        <v>-1</v>
      </c>
      <c r="L36" s="145">
        <f>SUM(L35)</f>
        <v>10</v>
      </c>
      <c r="M36" s="144">
        <f>SUM(M35)</f>
        <v>14400</v>
      </c>
      <c r="N36" s="146"/>
    </row>
    <row r="37" spans="1:14" x14ac:dyDescent="0.25">
      <c r="A37" s="33"/>
      <c r="B37" s="147" t="s">
        <v>39</v>
      </c>
      <c r="C37" s="147" t="s">
        <v>40</v>
      </c>
      <c r="D37" s="148" t="s">
        <v>41</v>
      </c>
      <c r="E37" s="149">
        <v>50</v>
      </c>
      <c r="F37" s="150"/>
      <c r="G37" s="149"/>
      <c r="H37" s="150"/>
      <c r="I37" s="149"/>
      <c r="J37" s="110">
        <f t="shared" si="0"/>
        <v>-1</v>
      </c>
      <c r="K37" s="111">
        <f t="shared" si="0"/>
        <v>-1</v>
      </c>
      <c r="L37" s="150">
        <v>6</v>
      </c>
      <c r="M37" s="149">
        <v>300</v>
      </c>
      <c r="N37" s="151"/>
    </row>
    <row r="38" spans="1:14" x14ac:dyDescent="0.25">
      <c r="A38" s="33"/>
      <c r="B38" s="34"/>
      <c r="C38" s="34"/>
      <c r="D38" s="18" t="s">
        <v>42</v>
      </c>
      <c r="E38" s="152">
        <v>100</v>
      </c>
      <c r="F38" s="153"/>
      <c r="G38" s="152"/>
      <c r="H38" s="153"/>
      <c r="I38" s="152"/>
      <c r="J38" s="92">
        <f t="shared" si="0"/>
        <v>-1</v>
      </c>
      <c r="K38" s="93">
        <f t="shared" si="0"/>
        <v>-1</v>
      </c>
      <c r="L38" s="153">
        <v>3</v>
      </c>
      <c r="M38" s="152">
        <v>300</v>
      </c>
      <c r="N38" s="154"/>
    </row>
    <row r="39" spans="1:14" x14ac:dyDescent="0.25">
      <c r="A39" s="33"/>
      <c r="B39" s="34"/>
      <c r="C39" s="34"/>
      <c r="D39" s="18" t="s">
        <v>25</v>
      </c>
      <c r="E39" s="152">
        <v>150</v>
      </c>
      <c r="F39" s="153"/>
      <c r="G39" s="152"/>
      <c r="H39" s="153"/>
      <c r="I39" s="152"/>
      <c r="J39" s="92">
        <f t="shared" si="0"/>
        <v>-1</v>
      </c>
      <c r="K39" s="93">
        <f t="shared" si="0"/>
        <v>-1</v>
      </c>
      <c r="L39" s="153">
        <v>1</v>
      </c>
      <c r="M39" s="152">
        <v>150</v>
      </c>
      <c r="N39" s="154"/>
    </row>
    <row r="40" spans="1:14" x14ac:dyDescent="0.25">
      <c r="A40" s="33"/>
      <c r="B40" s="34"/>
      <c r="C40" s="34"/>
      <c r="D40" s="18" t="s">
        <v>26</v>
      </c>
      <c r="E40" s="152">
        <v>200</v>
      </c>
      <c r="F40" s="153"/>
      <c r="G40" s="152"/>
      <c r="H40" s="153"/>
      <c r="I40" s="152"/>
      <c r="J40" s="92">
        <f t="shared" si="0"/>
        <v>-1</v>
      </c>
      <c r="K40" s="93">
        <f t="shared" si="0"/>
        <v>-1</v>
      </c>
      <c r="L40" s="153">
        <v>1</v>
      </c>
      <c r="M40" s="152">
        <v>200</v>
      </c>
      <c r="N40" s="154"/>
    </row>
    <row r="41" spans="1:14" x14ac:dyDescent="0.25">
      <c r="A41" s="33"/>
      <c r="B41" s="34"/>
      <c r="C41" s="34"/>
      <c r="D41" s="18" t="s">
        <v>27</v>
      </c>
      <c r="E41" s="152">
        <v>250</v>
      </c>
      <c r="F41" s="153"/>
      <c r="G41" s="152"/>
      <c r="H41" s="153"/>
      <c r="I41" s="152"/>
      <c r="J41" s="92" t="str">
        <f t="shared" si="0"/>
        <v>-</v>
      </c>
      <c r="K41" s="93" t="str">
        <f t="shared" si="0"/>
        <v>-</v>
      </c>
      <c r="L41" s="153">
        <v>0</v>
      </c>
      <c r="M41" s="152">
        <v>0</v>
      </c>
      <c r="N41" s="154"/>
    </row>
    <row r="42" spans="1:14" x14ac:dyDescent="0.25">
      <c r="A42" s="155"/>
      <c r="B42" s="156"/>
      <c r="C42" s="156"/>
      <c r="D42" s="97" t="s">
        <v>23</v>
      </c>
      <c r="E42" s="144">
        <v>0</v>
      </c>
      <c r="F42" s="145"/>
      <c r="G42" s="144"/>
      <c r="H42" s="145"/>
      <c r="I42" s="144"/>
      <c r="J42" s="101">
        <f t="shared" si="0"/>
        <v>-1</v>
      </c>
      <c r="K42" s="102">
        <f t="shared" si="0"/>
        <v>-1</v>
      </c>
      <c r="L42" s="145">
        <f>SUM(L37:L41)</f>
        <v>11</v>
      </c>
      <c r="M42" s="144">
        <f>SUM(M37:M41)</f>
        <v>950</v>
      </c>
      <c r="N42" s="146"/>
    </row>
    <row r="43" spans="1:14" x14ac:dyDescent="0.25">
      <c r="A43" s="157" t="s">
        <v>43</v>
      </c>
      <c r="B43" s="158"/>
      <c r="C43" s="158"/>
      <c r="D43" s="158"/>
      <c r="E43" s="159">
        <v>0</v>
      </c>
      <c r="F43" s="160">
        <f>F42+F36</f>
        <v>0</v>
      </c>
      <c r="G43" s="159">
        <f>G42+G36</f>
        <v>0</v>
      </c>
      <c r="H43" s="160">
        <f>H42+H36</f>
        <v>0</v>
      </c>
      <c r="I43" s="159">
        <f>I42+I36</f>
        <v>0</v>
      </c>
      <c r="J43" s="161">
        <f t="shared" si="0"/>
        <v>-1</v>
      </c>
      <c r="K43" s="162">
        <f t="shared" si="0"/>
        <v>-1</v>
      </c>
      <c r="L43" s="160">
        <f>L42+L36</f>
        <v>21</v>
      </c>
      <c r="M43" s="159">
        <f>M42+M36</f>
        <v>15350</v>
      </c>
      <c r="N43" s="163"/>
    </row>
    <row r="44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77">
        <f>F44*E44</f>
        <v>0</v>
      </c>
      <c r="H44" s="79">
        <f>F44</f>
        <v>0</v>
      </c>
      <c r="I44" s="80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80">
        <v>650</v>
      </c>
      <c r="N44" s="166"/>
    </row>
    <row r="45" spans="1:14" x14ac:dyDescent="0.25">
      <c r="A45" s="16"/>
      <c r="B45" s="17"/>
      <c r="C45" s="18"/>
      <c r="D45" s="19" t="s">
        <v>21</v>
      </c>
      <c r="E45" s="88">
        <v>180</v>
      </c>
      <c r="F45" s="89"/>
      <c r="G45" s="88"/>
      <c r="H45" s="90">
        <v>0</v>
      </c>
      <c r="I45" s="91">
        <f>H45*E45</f>
        <v>0</v>
      </c>
      <c r="J45" s="92" t="str">
        <f t="shared" si="1"/>
        <v>-</v>
      </c>
      <c r="K45" s="93" t="str">
        <f t="shared" si="1"/>
        <v>-</v>
      </c>
      <c r="L45" s="94"/>
      <c r="M45" s="91"/>
      <c r="N45" s="167"/>
    </row>
    <row r="46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88">
        <f>F46*E46</f>
        <v>0</v>
      </c>
      <c r="H46" s="90">
        <v>0</v>
      </c>
      <c r="I46" s="91">
        <f>H46*E46</f>
        <v>0</v>
      </c>
      <c r="J46" s="92" t="str">
        <f t="shared" si="1"/>
        <v>-</v>
      </c>
      <c r="K46" s="93" t="str">
        <f t="shared" si="1"/>
        <v>-</v>
      </c>
      <c r="L46" s="94"/>
      <c r="M46" s="91"/>
      <c r="N46" s="154"/>
    </row>
    <row r="47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100">
        <f>SUM(G44:G46)</f>
        <v>0</v>
      </c>
      <c r="H47" s="99">
        <f>SUM(H44:H46)</f>
        <v>0</v>
      </c>
      <c r="I47" s="100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100">
        <f>SUM(M44:M46)</f>
        <v>650</v>
      </c>
      <c r="N47" s="146"/>
    </row>
    <row r="48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106">
        <f>F48*E48</f>
        <v>0</v>
      </c>
      <c r="H48" s="108"/>
      <c r="I48" s="109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109">
        <v>720</v>
      </c>
      <c r="N48" s="151"/>
    </row>
    <row r="49" spans="1:14" x14ac:dyDescent="0.25">
      <c r="A49" s="16"/>
      <c r="B49" s="17"/>
      <c r="C49" s="18"/>
      <c r="D49" s="19" t="s">
        <v>26</v>
      </c>
      <c r="E49" s="88">
        <v>675</v>
      </c>
      <c r="F49" s="89"/>
      <c r="G49" s="88"/>
      <c r="H49" s="90">
        <v>0</v>
      </c>
      <c r="I49" s="91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91">
        <v>880</v>
      </c>
      <c r="N49" s="154"/>
    </row>
    <row r="50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88">
        <f>F50*E50</f>
        <v>0</v>
      </c>
      <c r="H50" s="90">
        <v>0</v>
      </c>
      <c r="I50" s="91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91">
        <v>0</v>
      </c>
      <c r="N50" s="154"/>
    </row>
    <row r="5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100">
        <f>SUM(G48:G50)</f>
        <v>0</v>
      </c>
      <c r="H51" s="99">
        <f>SUM(H48:H50)</f>
        <v>0</v>
      </c>
      <c r="I51" s="100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100">
        <f>SUM(M48:M50)</f>
        <v>1600</v>
      </c>
      <c r="N51" s="146"/>
    </row>
    <row r="52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173">
        <f>SUM(G47,G51)</f>
        <v>0</v>
      </c>
      <c r="H52" s="172">
        <f>H51+H47</f>
        <v>0</v>
      </c>
      <c r="I52" s="1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173">
        <f>M51+M47</f>
        <v>2250</v>
      </c>
      <c r="N52" s="163"/>
    </row>
    <row r="53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106">
        <f>F53*E53</f>
        <v>0</v>
      </c>
      <c r="H53" s="108">
        <v>0</v>
      </c>
      <c r="I53" s="109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109">
        <v>0</v>
      </c>
      <c r="N53" s="177"/>
    </row>
    <row r="54" spans="1:14" x14ac:dyDescent="0.25">
      <c r="A54" s="16"/>
      <c r="B54" s="17"/>
      <c r="C54" s="18"/>
      <c r="D54" s="19" t="s">
        <v>21</v>
      </c>
      <c r="E54" s="88">
        <v>120</v>
      </c>
      <c r="F54" s="89"/>
      <c r="G54" s="88"/>
      <c r="H54" s="90">
        <v>0</v>
      </c>
      <c r="I54" s="91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91">
        <v>0</v>
      </c>
      <c r="N54" s="178"/>
    </row>
    <row r="55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88">
        <f>F55*E55</f>
        <v>0</v>
      </c>
      <c r="H55" s="90">
        <v>0</v>
      </c>
      <c r="I55" s="91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91">
        <v>0</v>
      </c>
      <c r="N55" s="178"/>
    </row>
    <row r="56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100">
        <f>SUM(G53:G55)</f>
        <v>0</v>
      </c>
      <c r="H56" s="99">
        <f>SUM(H53:H55)</f>
        <v>0</v>
      </c>
      <c r="I56" s="100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100">
        <f>SUM(M53:M55)</f>
        <v>0</v>
      </c>
      <c r="N56" s="179"/>
    </row>
    <row r="57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106">
        <f>F57*E57</f>
        <v>0</v>
      </c>
      <c r="H57" s="108">
        <v>0</v>
      </c>
      <c r="I57" s="109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109">
        <v>0</v>
      </c>
      <c r="N57" s="177"/>
    </row>
    <row r="58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88">
        <v>0</v>
      </c>
      <c r="H58" s="90">
        <v>0</v>
      </c>
      <c r="I58" s="91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91">
        <v>0</v>
      </c>
      <c r="N58" s="178"/>
    </row>
    <row r="59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88">
        <f>F59*E59</f>
        <v>0</v>
      </c>
      <c r="H59" s="90">
        <v>0</v>
      </c>
      <c r="I59" s="91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91">
        <v>0</v>
      </c>
      <c r="N59" s="178"/>
    </row>
    <row r="60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100">
        <f>SUM(G57:G59)</f>
        <v>0</v>
      </c>
      <c r="H60" s="99">
        <f>SUM(H57:H59)</f>
        <v>0</v>
      </c>
      <c r="I60" s="100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100">
        <f>SUM(M57:M59)</f>
        <v>0</v>
      </c>
      <c r="N60" s="179"/>
    </row>
    <row r="6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173">
        <f>SUM(G56,G60)</f>
        <v>0</v>
      </c>
      <c r="H61" s="172">
        <f>H60+H56</f>
        <v>0</v>
      </c>
      <c r="I61" s="1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173">
        <f>SUM(M56,M60)</f>
        <v>0</v>
      </c>
      <c r="N61" s="180"/>
    </row>
    <row r="62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106">
        <f>F62*E62</f>
        <v>0</v>
      </c>
      <c r="H62" s="108">
        <v>0</v>
      </c>
      <c r="I62" s="109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109">
        <v>1020</v>
      </c>
      <c r="N62" s="177"/>
    </row>
    <row r="63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88">
        <v>0</v>
      </c>
      <c r="H63" s="90">
        <v>0</v>
      </c>
      <c r="I63" s="91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91">
        <v>0</v>
      </c>
      <c r="N63" s="178"/>
    </row>
    <row r="64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88">
        <f>F64*E64</f>
        <v>0</v>
      </c>
      <c r="H64" s="90">
        <v>0</v>
      </c>
      <c r="I64" s="91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91">
        <v>1800</v>
      </c>
      <c r="N64" s="178"/>
    </row>
    <row r="65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100">
        <f>SUM(G62:G64)</f>
        <v>0</v>
      </c>
      <c r="H65" s="99">
        <f>SUM(H62:H64)</f>
        <v>0</v>
      </c>
      <c r="I65" s="100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100">
        <f>SUM(M62:M64)</f>
        <v>2820</v>
      </c>
      <c r="N65" s="179"/>
    </row>
    <row r="66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106">
        <f>F66*E66</f>
        <v>0</v>
      </c>
      <c r="H66" s="108">
        <v>0</v>
      </c>
      <c r="I66" s="109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109">
        <v>1770</v>
      </c>
      <c r="N66" s="177"/>
    </row>
    <row r="67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88">
        <v>0</v>
      </c>
      <c r="H67" s="90">
        <v>0</v>
      </c>
      <c r="I67" s="91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91">
        <v>2160</v>
      </c>
      <c r="N67" s="178"/>
    </row>
    <row r="68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88">
        <f>F68*E68</f>
        <v>0</v>
      </c>
      <c r="H68" s="90">
        <v>0</v>
      </c>
      <c r="I68" s="91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91">
        <v>0</v>
      </c>
      <c r="N68" s="178"/>
    </row>
    <row r="69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100">
        <f>SUM(G66:G68)</f>
        <v>0</v>
      </c>
      <c r="H69" s="99">
        <f>SUM(H66:H68)</f>
        <v>0</v>
      </c>
      <c r="I69" s="100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100">
        <f>SUM(M66:M68)</f>
        <v>3930</v>
      </c>
      <c r="N69" s="179"/>
    </row>
    <row r="70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173">
        <f>SUM(G65,G69)</f>
        <v>0</v>
      </c>
      <c r="H70" s="172">
        <f>H69+H65</f>
        <v>0</v>
      </c>
      <c r="I70" s="1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173">
        <f>M69+M65</f>
        <v>6750</v>
      </c>
      <c r="N70" s="180"/>
    </row>
    <row r="7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159">
        <f>G70+G61+G52</f>
        <v>0</v>
      </c>
      <c r="H71" s="160">
        <f>H70+H61+H52</f>
        <v>0</v>
      </c>
      <c r="I71" s="159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159">
        <f>M70+M61+M52</f>
        <v>9000</v>
      </c>
      <c r="N71" s="180"/>
    </row>
    <row r="72" ht="16.5" customHeight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140"/>
      <c r="H72" s="141"/>
      <c r="I72" s="140"/>
      <c r="J72" s="81">
        <f t="shared" si="1"/>
        <v>-1</v>
      </c>
      <c r="K72" s="82">
        <f t="shared" si="1"/>
        <v>-1</v>
      </c>
      <c r="L72" s="141">
        <v>15</v>
      </c>
      <c r="M72" s="140">
        <f>1690+910</f>
        <v>2600</v>
      </c>
      <c r="N72" s="189"/>
    </row>
    <row r="73" spans="1:14" x14ac:dyDescent="0.25">
      <c r="A73" s="46"/>
      <c r="B73" s="47"/>
      <c r="C73" s="48"/>
      <c r="D73" s="48" t="s">
        <v>49</v>
      </c>
      <c r="E73" s="190"/>
      <c r="F73" s="153"/>
      <c r="G73" s="152"/>
      <c r="H73" s="153"/>
      <c r="I73" s="152"/>
      <c r="J73" s="92" t="str">
        <f t="shared" si="1"/>
        <v>-</v>
      </c>
      <c r="K73" s="93" t="str">
        <f t="shared" si="1"/>
        <v>-</v>
      </c>
      <c r="L73" s="153">
        <v>0</v>
      </c>
      <c r="M73" s="152">
        <v>0</v>
      </c>
      <c r="N73" s="191"/>
    </row>
    <row r="74" spans="1:14" x14ac:dyDescent="0.25">
      <c r="A74" s="46"/>
      <c r="B74" s="47"/>
      <c r="C74" s="48"/>
      <c r="D74" s="48" t="s">
        <v>22</v>
      </c>
      <c r="E74" s="190"/>
      <c r="F74" s="153"/>
      <c r="G74" s="152"/>
      <c r="H74" s="153"/>
      <c r="I74" s="152"/>
      <c r="J74" s="92">
        <f t="shared" si="1"/>
        <v>-1</v>
      </c>
      <c r="K74" s="93">
        <f t="shared" si="1"/>
        <v>-1</v>
      </c>
      <c r="L74" s="153">
        <v>1</v>
      </c>
      <c r="M74" s="152">
        <v>310</v>
      </c>
      <c r="N74" s="191"/>
    </row>
    <row r="75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144">
        <f>SUM(G72:G74)</f>
        <v>0</v>
      </c>
      <c r="H75" s="145">
        <f>SUM(H72:H74)</f>
        <v>0</v>
      </c>
      <c r="I75" s="144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144">
        <f>SUM(M72:M74)</f>
        <v>2910</v>
      </c>
      <c r="N75" s="195"/>
    </row>
    <row r="76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149"/>
      <c r="H76" s="150"/>
      <c r="I76" s="149"/>
      <c r="J76" s="110">
        <f t="shared" si="1"/>
        <v>-1</v>
      </c>
      <c r="K76" s="111">
        <f t="shared" si="1"/>
        <v>-1</v>
      </c>
      <c r="L76" s="150">
        <f>33+4+1+9</f>
        <v>47</v>
      </c>
      <c r="M76" s="149">
        <f>14520+1760+490+4410</f>
        <v>21180</v>
      </c>
      <c r="N76" s="198"/>
    </row>
    <row r="77" spans="1:14" x14ac:dyDescent="0.25">
      <c r="A77" s="46"/>
      <c r="B77" s="47"/>
      <c r="C77" s="48"/>
      <c r="D77" s="48" t="s">
        <v>26</v>
      </c>
      <c r="E77" s="190"/>
      <c r="F77" s="153"/>
      <c r="G77" s="152"/>
      <c r="H77" s="153"/>
      <c r="I77" s="152"/>
      <c r="J77" s="92">
        <f t="shared" si="1"/>
        <v>-1</v>
      </c>
      <c r="K77" s="93">
        <f t="shared" si="1"/>
        <v>-1</v>
      </c>
      <c r="L77" s="153">
        <f>34+6</f>
        <v>40</v>
      </c>
      <c r="M77" s="152">
        <f>17680+3420</f>
        <v>21100</v>
      </c>
      <c r="N77" s="191"/>
    </row>
    <row r="78" spans="1:14" x14ac:dyDescent="0.25">
      <c r="A78" s="46"/>
      <c r="B78" s="47"/>
      <c r="C78" s="48"/>
      <c r="D78" s="48" t="s">
        <v>27</v>
      </c>
      <c r="E78" s="190"/>
      <c r="F78" s="153"/>
      <c r="G78" s="152"/>
      <c r="H78" s="153"/>
      <c r="I78" s="152"/>
      <c r="J78" s="92" t="str">
        <f t="shared" si="1"/>
        <v>-</v>
      </c>
      <c r="K78" s="93" t="str">
        <f t="shared" si="1"/>
        <v>-</v>
      </c>
      <c r="L78" s="153">
        <v>0</v>
      </c>
      <c r="M78" s="152">
        <v>0</v>
      </c>
      <c r="N78" s="191"/>
    </row>
    <row r="79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144">
        <f>SUM(G76:G78)</f>
        <v>0</v>
      </c>
      <c r="H79" s="145">
        <f>SUM(H76:H78)</f>
        <v>0</v>
      </c>
      <c r="I79" s="144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144">
        <f>SUM(M76:M78)</f>
        <v>42280</v>
      </c>
      <c r="N79" s="195"/>
    </row>
    <row r="80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149"/>
      <c r="H80" s="150"/>
      <c r="I80" s="149"/>
      <c r="J80" s="110" t="str">
        <f t="shared" si="1"/>
        <v>-</v>
      </c>
      <c r="K80" s="111" t="str">
        <f t="shared" si="1"/>
        <v>-</v>
      </c>
      <c r="L80" s="150">
        <v>0</v>
      </c>
      <c r="M80" s="149">
        <v>0</v>
      </c>
      <c r="N80" s="198"/>
    </row>
    <row r="8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144">
        <f>SUM(G80)</f>
        <v>0</v>
      </c>
      <c r="H81" s="145">
        <f>SUM(H80)</f>
        <v>0</v>
      </c>
      <c r="I81" s="144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144">
        <f>SUM(M80)</f>
        <v>0</v>
      </c>
      <c r="N81" s="195"/>
    </row>
    <row r="82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05">
        <f>G81+G79+G75</f>
        <v>0</v>
      </c>
      <c r="H82" s="204">
        <f>H81+H79+H75</f>
        <v>0</v>
      </c>
      <c r="I82" s="205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05">
        <f>M81+M79+M75</f>
        <v>45190</v>
      </c>
      <c r="N82" s="180"/>
    </row>
    <row r="83" spans="1:14" x14ac:dyDescent="0.25">
      <c r="A83" s="206" t="s">
        <v>51</v>
      </c>
      <c r="B83" s="206"/>
      <c r="C83" s="206"/>
      <c r="D83" s="206"/>
      <c r="E83" s="207"/>
      <c r="F83" s="208">
        <f>F82+F71+F43+F34</f>
        <v>6</v>
      </c>
      <c r="G83" s="209">
        <f>G82+G71+G43+G34</f>
        <v>2790</v>
      </c>
      <c r="H83" s="208">
        <f>H82+H71+H43+H34</f>
        <v>6</v>
      </c>
      <c r="I83" s="209">
        <f>I82+I71+I43+I34</f>
        <v>3310</v>
      </c>
      <c r="J83" s="210"/>
      <c r="K83" s="211"/>
      <c r="L83" s="208">
        <f>L82+L71+L43+L34</f>
        <v>361</v>
      </c>
      <c r="M83" s="212">
        <f>M82+M71+M43+M34</f>
        <v>165770</v>
      </c>
      <c r="N83" s="21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T25" sqref="T25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58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59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3</v>
      </c>
      <c r="G11" s="236">
        <f>F11*E11</f>
        <v>1650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/>
      <c r="G12" s="228">
        <f>F12*E12</f>
        <v>0</v>
      </c>
      <c r="H12" s="229">
        <v>0</v>
      </c>
      <c r="I12" s="230">
        <f>H12*E12</f>
        <v>0</v>
      </c>
      <c r="J12" s="92">
        <f t="shared" si="0"/>
        <v>-1</v>
      </c>
      <c r="K12" s="93">
        <f t="shared" si="0"/>
        <v>-1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1</v>
      </c>
      <c r="G13" s="228">
        <f>F13*E13</f>
        <v>810</v>
      </c>
      <c r="H13" s="229">
        <v>1</v>
      </c>
      <c r="I13" s="230">
        <f>H13*E13</f>
        <v>810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4</v>
      </c>
      <c r="G14" s="240">
        <f>SUM(G11:G13)</f>
        <v>2460</v>
      </c>
      <c r="H14" s="241">
        <f>SUM(H11:H13)</f>
        <v>5</v>
      </c>
      <c r="I14" s="242">
        <f>SUM(I11:I13)</f>
        <v>3010</v>
      </c>
      <c r="J14" s="118">
        <f t="shared" si="0"/>
        <v>-0.8958333333333334</v>
      </c>
      <c r="K14" s="119">
        <f t="shared" si="0"/>
        <v>-0.8920373027259685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4</v>
      </c>
      <c r="G15" s="244">
        <f>SUM(G10,G14)</f>
        <v>2460</v>
      </c>
      <c r="H15" s="245">
        <f>H14+H10</f>
        <v>5</v>
      </c>
      <c r="I15" s="246">
        <f>I14+I10</f>
        <v>3010</v>
      </c>
      <c r="J15" s="125">
        <f t="shared" si="0"/>
        <v>-0.9122807017543859</v>
      </c>
      <c r="K15" s="126">
        <f t="shared" si="0"/>
        <v>-0.9003641178417743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/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1</v>
      </c>
      <c r="G21" s="228">
        <f>F21*E21</f>
        <v>520</v>
      </c>
      <c r="H21" s="229">
        <v>1</v>
      </c>
      <c r="I21" s="230">
        <f>H21*E21</f>
        <v>520</v>
      </c>
      <c r="J21" s="92">
        <f t="shared" si="0"/>
        <v>-0.9230769230769231</v>
      </c>
      <c r="K21" s="93">
        <f t="shared" si="0"/>
        <v>-0.9230769230769231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1</v>
      </c>
      <c r="G23" s="240">
        <f>SUM(G20:G22)</f>
        <v>520</v>
      </c>
      <c r="H23" s="241">
        <f>SUM(H20:H22)</f>
        <v>1</v>
      </c>
      <c r="I23" s="242">
        <f>SUM(I20:I22)</f>
        <v>520</v>
      </c>
      <c r="J23" s="118">
        <f t="shared" si="0"/>
        <v>-0.9666666666666667</v>
      </c>
      <c r="K23" s="119">
        <f t="shared" si="0"/>
        <v>-0.9634831460674157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1</v>
      </c>
      <c r="G24" s="244">
        <f>SUM(G19,G23)</f>
        <v>520</v>
      </c>
      <c r="H24" s="245">
        <f>H23+H19</f>
        <v>1</v>
      </c>
      <c r="I24" s="246">
        <f>I23+I19</f>
        <v>520</v>
      </c>
      <c r="J24" s="125">
        <f t="shared" si="0"/>
        <v>-0.9736842105263158</v>
      </c>
      <c r="K24" s="126">
        <f t="shared" si="0"/>
        <v>-0.9661016949152542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>
        <v>0</v>
      </c>
      <c r="G25" s="236">
        <f>F25*E25</f>
        <v>0</v>
      </c>
      <c r="H25" s="237">
        <v>0</v>
      </c>
      <c r="I25" s="238">
        <f>H25*E25</f>
        <v>0</v>
      </c>
      <c r="J25" s="110">
        <f t="shared" si="0"/>
        <v>-1</v>
      </c>
      <c r="K25" s="111">
        <f t="shared" si="0"/>
        <v>-1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/>
      <c r="H26" s="229">
        <v>0</v>
      </c>
      <c r="I26" s="230">
        <f>H26*E26</f>
        <v>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1</v>
      </c>
      <c r="G27" s="228">
        <f>F27*E27</f>
        <v>300</v>
      </c>
      <c r="H27" s="229">
        <v>1</v>
      </c>
      <c r="I27" s="230">
        <f>H27*E27</f>
        <v>300</v>
      </c>
      <c r="J27" s="92">
        <f t="shared" si="0"/>
        <v>-0.8571428571428572</v>
      </c>
      <c r="K27" s="93">
        <f t="shared" si="0"/>
        <v>-0.8617511520737327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1</v>
      </c>
      <c r="I28" s="235">
        <f>SUM(I25:I27)</f>
        <v>300</v>
      </c>
      <c r="J28" s="101">
        <f t="shared" si="0"/>
        <v>-0.9615384615384616</v>
      </c>
      <c r="K28" s="102">
        <f t="shared" si="0"/>
        <v>-0.9409448818897638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4</v>
      </c>
      <c r="G29" s="236">
        <f>F29*E29</f>
        <v>1760</v>
      </c>
      <c r="H29" s="237">
        <v>5</v>
      </c>
      <c r="I29" s="238">
        <f>H29*E29</f>
        <v>2200</v>
      </c>
      <c r="J29" s="110">
        <f t="shared" si="0"/>
        <v>-0.9074074074074074</v>
      </c>
      <c r="K29" s="111">
        <f t="shared" si="0"/>
        <v>-0.9074074074074074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4</v>
      </c>
      <c r="G30" s="228">
        <f>F30*E30</f>
        <v>2080</v>
      </c>
      <c r="H30" s="229">
        <v>5</v>
      </c>
      <c r="I30" s="230">
        <f>H30*E30</f>
        <v>2600</v>
      </c>
      <c r="J30" s="92">
        <f t="shared" si="0"/>
        <v>-0.8780487804878049</v>
      </c>
      <c r="K30" s="93">
        <f t="shared" si="0"/>
        <v>-0.8809523809523809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3</v>
      </c>
      <c r="I31" s="230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8</v>
      </c>
      <c r="G32" s="240">
        <f>SUM(G29:G31)</f>
        <v>3840</v>
      </c>
      <c r="H32" s="241">
        <f>SUM(H29:H31)</f>
        <v>13</v>
      </c>
      <c r="I32" s="242">
        <f>SUM(I29:I31)</f>
        <v>6600</v>
      </c>
      <c r="J32" s="118">
        <f t="shared" si="0"/>
        <v>-0.8631578947368421</v>
      </c>
      <c r="K32" s="119">
        <f t="shared" si="0"/>
        <v>-0.8552631578947368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9</v>
      </c>
      <c r="G33" s="244">
        <f>SUM(G28,G32)</f>
        <v>4140</v>
      </c>
      <c r="H33" s="245">
        <f>H32+H28</f>
        <v>14</v>
      </c>
      <c r="I33" s="246">
        <f>I32+I28</f>
        <v>6900</v>
      </c>
      <c r="J33" s="125">
        <f t="shared" si="0"/>
        <v>-0.884297520661157</v>
      </c>
      <c r="K33" s="126">
        <f t="shared" si="0"/>
        <v>-0.8638516179952644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14</v>
      </c>
      <c r="G34" s="249">
        <f>G15+G24+G33</f>
        <v>7120</v>
      </c>
      <c r="H34" s="250">
        <f>H15+H24+H33</f>
        <v>20</v>
      </c>
      <c r="I34" s="251">
        <f>I15+I24+I33</f>
        <v>10430</v>
      </c>
      <c r="J34" s="161">
        <f t="shared" si="0"/>
        <v>-0.9074074074074074</v>
      </c>
      <c r="K34" s="162">
        <f t="shared" si="0"/>
        <v>-0.8916138418372649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2</v>
      </c>
      <c r="G35" s="253">
        <f>F35*E35</f>
        <v>1980</v>
      </c>
      <c r="H35" s="254">
        <v>6</v>
      </c>
      <c r="I35" s="255">
        <f>H35*E35</f>
        <v>5940</v>
      </c>
      <c r="J35" s="81">
        <f t="shared" si="0"/>
        <v>-0.4</v>
      </c>
      <c r="K35" s="82">
        <f t="shared" si="0"/>
        <v>-0.5875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97" t="s">
        <v>23</v>
      </c>
      <c r="E36" s="144">
        <v>0</v>
      </c>
      <c r="F36" s="145">
        <f>F35</f>
        <v>2</v>
      </c>
      <c r="G36" s="258">
        <f>G35</f>
        <v>1980</v>
      </c>
      <c r="H36" s="259">
        <f>H35</f>
        <v>6</v>
      </c>
      <c r="I36" s="260">
        <f>I35</f>
        <v>5940</v>
      </c>
      <c r="J36" s="101">
        <f t="shared" si="0"/>
        <v>-0.4</v>
      </c>
      <c r="K36" s="102">
        <f t="shared" si="0"/>
        <v>-0.5875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157" t="s">
        <v>43</v>
      </c>
      <c r="B43" s="158"/>
      <c r="C43" s="158"/>
      <c r="D43" s="158"/>
      <c r="E43" s="159">
        <v>0</v>
      </c>
      <c r="F43" s="160">
        <f>F42+F36</f>
        <v>2</v>
      </c>
      <c r="G43" s="249">
        <f>G42+G36</f>
        <v>1980</v>
      </c>
      <c r="H43" s="250">
        <f>H42+H36</f>
        <v>6</v>
      </c>
      <c r="I43" s="251">
        <f>I42+I36</f>
        <v>5940</v>
      </c>
      <c r="J43" s="161">
        <f t="shared" si="0"/>
        <v>-0.7142857142857143</v>
      </c>
      <c r="K43" s="162">
        <f t="shared" si="0"/>
        <v>-0.613029315960912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16</v>
      </c>
      <c r="G83" s="212">
        <f>G82+G71+G43+G34</f>
        <v>9100</v>
      </c>
      <c r="H83" s="279">
        <f>H82+H71+H43+H34</f>
        <v>26</v>
      </c>
      <c r="I83" s="280">
        <f>I82+I71+I43+I34</f>
        <v>16370</v>
      </c>
      <c r="J83" s="281">
        <f>IFERROR(H83/L83-1,"-")</f>
        <v>-0.9279778393351801</v>
      </c>
      <c r="K83" s="282">
        <f>IFERROR(I83/M83-1,"-")</f>
        <v>-0.9012487181033962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L84" sqref="L84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60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61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2</v>
      </c>
      <c r="G12" s="228">
        <f>F12*E12</f>
        <v>1350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0</v>
      </c>
      <c r="G13" s="228">
        <f>F13*E13</f>
        <v>0</v>
      </c>
      <c r="H13" s="229">
        <v>1</v>
      </c>
      <c r="I13" s="230">
        <f>H13*E13</f>
        <v>810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2</v>
      </c>
      <c r="G14" s="240">
        <f>SUM(G11:G13)</f>
        <v>1350</v>
      </c>
      <c r="H14" s="241">
        <f>SUM(H11:H13)</f>
        <v>7</v>
      </c>
      <c r="I14" s="242">
        <f>SUM(I11:I13)</f>
        <v>4360</v>
      </c>
      <c r="J14" s="118">
        <f t="shared" si="0"/>
        <v>-0.8541666666666666</v>
      </c>
      <c r="K14" s="119">
        <f t="shared" si="0"/>
        <v>-0.8436154949784792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2</v>
      </c>
      <c r="G15" s="244">
        <f>SUM(G10,G14)</f>
        <v>1350</v>
      </c>
      <c r="H15" s="245">
        <f>H14+H10</f>
        <v>7</v>
      </c>
      <c r="I15" s="246">
        <f>I14+I10</f>
        <v>4360</v>
      </c>
      <c r="J15" s="125">
        <f t="shared" si="0"/>
        <v>-0.8771929824561404</v>
      </c>
      <c r="K15" s="126">
        <f t="shared" si="0"/>
        <v>-0.8556769281694803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1</v>
      </c>
      <c r="G21" s="228">
        <f>F21*E21</f>
        <v>520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1</v>
      </c>
      <c r="G23" s="240">
        <f>SUM(G20:G22)</f>
        <v>520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1</v>
      </c>
      <c r="G24" s="244">
        <f>SUM(G19,G23)</f>
        <v>520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>
        <v>1</v>
      </c>
      <c r="G25" s="236">
        <f>F25*E25</f>
        <v>190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>
        <v>1</v>
      </c>
      <c r="G26" s="228">
        <f>F26*E26</f>
        <v>120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2</v>
      </c>
      <c r="G27" s="228">
        <f>F27*E27</f>
        <v>600</v>
      </c>
      <c r="H27" s="229">
        <v>3</v>
      </c>
      <c r="I27" s="230">
        <f>H27*E27</f>
        <v>900</v>
      </c>
      <c r="J27" s="92">
        <f t="shared" si="0"/>
        <v>-0.5714285714285714</v>
      </c>
      <c r="K27" s="93">
        <f t="shared" si="0"/>
        <v>-0.5852534562211982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4</v>
      </c>
      <c r="G28" s="233">
        <f>SUM(G25:G27)</f>
        <v>910</v>
      </c>
      <c r="H28" s="234">
        <f>SUM(H25:H27)</f>
        <v>5</v>
      </c>
      <c r="I28" s="235">
        <f>SUM(I25:I27)</f>
        <v>1210</v>
      </c>
      <c r="J28" s="101">
        <f t="shared" si="0"/>
        <v>-0.8076923076923077</v>
      </c>
      <c r="K28" s="102">
        <f t="shared" si="0"/>
        <v>-0.7618110236220472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4</v>
      </c>
      <c r="G29" s="236">
        <f>F29*E29</f>
        <v>1760</v>
      </c>
      <c r="H29" s="237">
        <v>9</v>
      </c>
      <c r="I29" s="238">
        <f>H29*E29</f>
        <v>3960</v>
      </c>
      <c r="J29" s="110">
        <f t="shared" si="0"/>
        <v>-0.8333333333333334</v>
      </c>
      <c r="K29" s="111">
        <f t="shared" si="0"/>
        <v>-0.8333333333333334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1</v>
      </c>
      <c r="G30" s="228">
        <f>F30*E30</f>
        <v>520</v>
      </c>
      <c r="H30" s="229">
        <v>6</v>
      </c>
      <c r="I30" s="230">
        <f>H30*E30</f>
        <v>3120</v>
      </c>
      <c r="J30" s="92">
        <f t="shared" si="0"/>
        <v>-0.8536585365853658</v>
      </c>
      <c r="K30" s="93">
        <f t="shared" si="0"/>
        <v>-0.8571428571428572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3</v>
      </c>
      <c r="I31" s="230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5</v>
      </c>
      <c r="G32" s="240">
        <f>SUM(G29:G31)</f>
        <v>2280</v>
      </c>
      <c r="H32" s="241">
        <f>SUM(H29:H31)</f>
        <v>18</v>
      </c>
      <c r="I32" s="242">
        <f>SUM(I29:I31)</f>
        <v>8880</v>
      </c>
      <c r="J32" s="118">
        <f t="shared" si="0"/>
        <v>-0.8105263157894737</v>
      </c>
      <c r="K32" s="119">
        <f t="shared" si="0"/>
        <v>-0.8052631578947369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9</v>
      </c>
      <c r="G33" s="244">
        <f>SUM(G28,G32)</f>
        <v>3190</v>
      </c>
      <c r="H33" s="245">
        <f>H32+H28</f>
        <v>23</v>
      </c>
      <c r="I33" s="246">
        <f>I32+I28</f>
        <v>10090</v>
      </c>
      <c r="J33" s="125">
        <f t="shared" si="0"/>
        <v>-0.8099173553719008</v>
      </c>
      <c r="K33" s="126">
        <f t="shared" si="0"/>
        <v>-0.8009076558800315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12</v>
      </c>
      <c r="G34" s="249">
        <f>G15+G24+G33</f>
        <v>5060</v>
      </c>
      <c r="H34" s="250">
        <f>H15+H24+H33</f>
        <v>32</v>
      </c>
      <c r="I34" s="251">
        <f>I15+I24+I33</f>
        <v>15490</v>
      </c>
      <c r="J34" s="161">
        <f t="shared" si="0"/>
        <v>-0.8518518518518519</v>
      </c>
      <c r="K34" s="162">
        <f t="shared" si="0"/>
        <v>-0.8390314870622467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3</v>
      </c>
      <c r="G35" s="253">
        <f>F35*E35</f>
        <v>2970</v>
      </c>
      <c r="H35" s="254">
        <v>9</v>
      </c>
      <c r="I35" s="255">
        <f>H35*E35</f>
        <v>8910</v>
      </c>
      <c r="J35" s="81">
        <f t="shared" si="0"/>
        <v>-0.09999999999999998</v>
      </c>
      <c r="K35" s="82">
        <f t="shared" si="0"/>
        <v>-0.38125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3</v>
      </c>
      <c r="G36" s="258">
        <f>G35</f>
        <v>2970</v>
      </c>
      <c r="H36" s="259">
        <f>H35</f>
        <v>9</v>
      </c>
      <c r="I36" s="260">
        <f>I35</f>
        <v>8910</v>
      </c>
      <c r="J36" s="101">
        <f t="shared" si="0"/>
        <v>-0.09999999999999998</v>
      </c>
      <c r="K36" s="102">
        <f t="shared" si="0"/>
        <v>-0.38125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3</v>
      </c>
      <c r="G43" s="249">
        <f>G42+G36</f>
        <v>2970</v>
      </c>
      <c r="H43" s="250">
        <f>H42+H36</f>
        <v>9</v>
      </c>
      <c r="I43" s="251">
        <f>I42+I36</f>
        <v>8910</v>
      </c>
      <c r="J43" s="161">
        <f t="shared" si="0"/>
        <v>-0.5714285714285714</v>
      </c>
      <c r="K43" s="162">
        <f t="shared" si="0"/>
        <v>-0.4195439739413681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15</v>
      </c>
      <c r="G83" s="212">
        <f>G82+G71+G43+G34</f>
        <v>8030</v>
      </c>
      <c r="H83" s="279">
        <f>H82+H71+H43+H34</f>
        <v>41</v>
      </c>
      <c r="I83" s="280">
        <f>I82+I71+I43+I34</f>
        <v>24400</v>
      </c>
      <c r="J83" s="281">
        <f>IFERROR(H83/L83-1,"-")</f>
        <v>-0.8864265927977839</v>
      </c>
      <c r="K83" s="282">
        <f>IFERROR(I83/M83-1,"-")</f>
        <v>-0.8528081076189902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S28" sqref="S28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62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63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1</v>
      </c>
      <c r="G13" s="228">
        <f>F13*E13</f>
        <v>810</v>
      </c>
      <c r="H13" s="229">
        <v>2</v>
      </c>
      <c r="I13" s="230">
        <f>H13*E13</f>
        <v>1620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1</v>
      </c>
      <c r="G14" s="240">
        <f>SUM(G11:G13)</f>
        <v>810</v>
      </c>
      <c r="H14" s="241">
        <f>SUM(H11:H13)</f>
        <v>8</v>
      </c>
      <c r="I14" s="242">
        <f>SUM(I11:I13)</f>
        <v>5170</v>
      </c>
      <c r="J14" s="118">
        <f t="shared" si="0"/>
        <v>-0.8333333333333334</v>
      </c>
      <c r="K14" s="119">
        <f t="shared" si="0"/>
        <v>-0.8145624103299857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1</v>
      </c>
      <c r="G15" s="244">
        <f>SUM(G10,G14)</f>
        <v>810</v>
      </c>
      <c r="H15" s="245">
        <f>H14+H10</f>
        <v>8</v>
      </c>
      <c r="I15" s="246">
        <f>I14+I10</f>
        <v>5170</v>
      </c>
      <c r="J15" s="125">
        <f t="shared" si="0"/>
        <v>-0.8596491228070176</v>
      </c>
      <c r="K15" s="126">
        <f t="shared" si="0"/>
        <v>-0.8288646143661039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0</v>
      </c>
      <c r="G23" s="240">
        <f>SUM(G20:G22)</f>
        <v>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0</v>
      </c>
      <c r="G24" s="244">
        <f>SUM(G19,G23)</f>
        <v>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1</v>
      </c>
      <c r="G27" s="228">
        <f>F27*E27</f>
        <v>300</v>
      </c>
      <c r="H27" s="229">
        <v>4</v>
      </c>
      <c r="I27" s="230">
        <f>H27*E27</f>
        <v>1200</v>
      </c>
      <c r="J27" s="92">
        <f t="shared" si="0"/>
        <v>-0.4285714285714286</v>
      </c>
      <c r="K27" s="93">
        <f t="shared" si="0"/>
        <v>-0.4470046082949308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6</v>
      </c>
      <c r="I28" s="235">
        <f>SUM(I25:I27)</f>
        <v>1510</v>
      </c>
      <c r="J28" s="101">
        <f t="shared" si="0"/>
        <v>-0.7692307692307692</v>
      </c>
      <c r="K28" s="102">
        <f t="shared" si="0"/>
        <v>-0.702755905511811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1</v>
      </c>
      <c r="G29" s="236">
        <f>F29*E29</f>
        <v>440</v>
      </c>
      <c r="H29" s="237">
        <v>10</v>
      </c>
      <c r="I29" s="238">
        <f>H29*E29</f>
        <v>4400</v>
      </c>
      <c r="J29" s="110">
        <f t="shared" si="0"/>
        <v>-0.8148148148148149</v>
      </c>
      <c r="K29" s="111">
        <f t="shared" si="0"/>
        <v>-0.8148148148148149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0</v>
      </c>
      <c r="G30" s="228">
        <f>F30*E30</f>
        <v>0</v>
      </c>
      <c r="H30" s="229">
        <v>6</v>
      </c>
      <c r="I30" s="230">
        <f>H30*E30</f>
        <v>3120</v>
      </c>
      <c r="J30" s="92">
        <f t="shared" si="0"/>
        <v>-0.8536585365853658</v>
      </c>
      <c r="K30" s="93">
        <f t="shared" si="0"/>
        <v>-0.8571428571428572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2</v>
      </c>
      <c r="I31" s="230">
        <f>H31*E31</f>
        <v>1200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1</v>
      </c>
      <c r="G32" s="240">
        <f>SUM(G29:G31)</f>
        <v>440</v>
      </c>
      <c r="H32" s="241">
        <f>SUM(H29:H31)</f>
        <v>18</v>
      </c>
      <c r="I32" s="242">
        <f>SUM(I29:I31)</f>
        <v>8720</v>
      </c>
      <c r="J32" s="118">
        <f t="shared" si="0"/>
        <v>-0.8105263157894737</v>
      </c>
      <c r="K32" s="119">
        <f t="shared" si="0"/>
        <v>-0.8087719298245614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2</v>
      </c>
      <c r="G33" s="244">
        <f>SUM(G28,G32)</f>
        <v>740</v>
      </c>
      <c r="H33" s="245">
        <f>H32+H28</f>
        <v>24</v>
      </c>
      <c r="I33" s="246">
        <f>I32+I28</f>
        <v>10230</v>
      </c>
      <c r="J33" s="125">
        <f t="shared" si="0"/>
        <v>-0.8016528925619835</v>
      </c>
      <c r="K33" s="126">
        <f t="shared" si="0"/>
        <v>-0.7981452249408051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3</v>
      </c>
      <c r="G34" s="249">
        <f>G15+G24+G33</f>
        <v>1550</v>
      </c>
      <c r="H34" s="250">
        <f>H15+H24+H33</f>
        <v>34</v>
      </c>
      <c r="I34" s="251">
        <f>I15+I24+I33</f>
        <v>16440</v>
      </c>
      <c r="J34" s="161">
        <f t="shared" si="0"/>
        <v>-0.8425925925925926</v>
      </c>
      <c r="K34" s="162">
        <f t="shared" si="0"/>
        <v>-0.8291593058297828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0</v>
      </c>
      <c r="G35" s="253">
        <f>F35*E35</f>
        <v>0</v>
      </c>
      <c r="H35" s="254">
        <v>9</v>
      </c>
      <c r="I35" s="255">
        <f>H35*E35</f>
        <v>8910</v>
      </c>
      <c r="J35" s="81">
        <f t="shared" si="0"/>
        <v>-0.09999999999999998</v>
      </c>
      <c r="K35" s="82">
        <f t="shared" si="0"/>
        <v>-0.38125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0</v>
      </c>
      <c r="G36" s="258">
        <f>G35</f>
        <v>0</v>
      </c>
      <c r="H36" s="259">
        <f>H35</f>
        <v>9</v>
      </c>
      <c r="I36" s="260">
        <f>I35</f>
        <v>8910</v>
      </c>
      <c r="J36" s="101">
        <f t="shared" si="0"/>
        <v>-0.09999999999999998</v>
      </c>
      <c r="K36" s="102">
        <f t="shared" si="0"/>
        <v>-0.38125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0</v>
      </c>
      <c r="G43" s="249">
        <f>G42+G36</f>
        <v>0</v>
      </c>
      <c r="H43" s="250">
        <f>H42+H36</f>
        <v>9</v>
      </c>
      <c r="I43" s="251">
        <f>I42+I36</f>
        <v>8910</v>
      </c>
      <c r="J43" s="161">
        <f t="shared" si="0"/>
        <v>-0.5714285714285714</v>
      </c>
      <c r="K43" s="162">
        <f t="shared" si="0"/>
        <v>-0.4195439739413681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3</v>
      </c>
      <c r="G83" s="212">
        <f>G82+G71+G43+G34</f>
        <v>1550</v>
      </c>
      <c r="H83" s="279">
        <f>H82+H71+H43+H34</f>
        <v>43</v>
      </c>
      <c r="I83" s="280">
        <f>I82+I71+I43+I34</f>
        <v>25350</v>
      </c>
      <c r="J83" s="281">
        <f>IFERROR(H83/L83-1,"-")</f>
        <v>-0.8808864265927978</v>
      </c>
      <c r="K83" s="282">
        <f>IFERROR(I83/M83-1,"-")</f>
        <v>-0.8470772757435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Q8" sqref="Q8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64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65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0</v>
      </c>
      <c r="G13" s="228">
        <f>F13*E13</f>
        <v>0</v>
      </c>
      <c r="H13" s="229">
        <v>2</v>
      </c>
      <c r="I13" s="230">
        <f>H13*E13</f>
        <v>1620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0</v>
      </c>
      <c r="G14" s="240">
        <f>SUM(G11:G13)</f>
        <v>0</v>
      </c>
      <c r="H14" s="241">
        <f>SUM(H11:H13)</f>
        <v>8</v>
      </c>
      <c r="I14" s="242">
        <f>SUM(I11:I13)</f>
        <v>5170</v>
      </c>
      <c r="J14" s="118">
        <f t="shared" si="0"/>
        <v>-0.8333333333333334</v>
      </c>
      <c r="K14" s="119">
        <f t="shared" si="0"/>
        <v>-0.8145624103299857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0</v>
      </c>
      <c r="G15" s="244">
        <f>SUM(G10,G14)</f>
        <v>0</v>
      </c>
      <c r="H15" s="245">
        <f>H14+H10</f>
        <v>8</v>
      </c>
      <c r="I15" s="246">
        <f>I14+I10</f>
        <v>5170</v>
      </c>
      <c r="J15" s="125">
        <f t="shared" si="0"/>
        <v>-0.8596491228070176</v>
      </c>
      <c r="K15" s="126">
        <f t="shared" si="0"/>
        <v>-0.8288646143661039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0</v>
      </c>
      <c r="G23" s="240">
        <f>SUM(G20:G22)</f>
        <v>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0</v>
      </c>
      <c r="G24" s="244">
        <f>SUM(G19,G23)</f>
        <v>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92">
        <f t="shared" si="0"/>
        <v>-0.4285714285714286</v>
      </c>
      <c r="K27" s="93">
        <f t="shared" si="0"/>
        <v>-0.4470046082949308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101">
        <f t="shared" si="0"/>
        <v>-0.7692307692307692</v>
      </c>
      <c r="K28" s="102">
        <f t="shared" si="0"/>
        <v>-0.702755905511811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2</v>
      </c>
      <c r="G29" s="236">
        <f>F29*E29</f>
        <v>880</v>
      </c>
      <c r="H29" s="237">
        <v>12</v>
      </c>
      <c r="I29" s="238">
        <f>H29*E29</f>
        <v>5280</v>
      </c>
      <c r="J29" s="110">
        <f t="shared" si="0"/>
        <v>-0.7777777777777778</v>
      </c>
      <c r="K29" s="111">
        <f t="shared" si="0"/>
        <v>-0.7777777777777778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3</v>
      </c>
      <c r="G30" s="228">
        <f>F30*E30</f>
        <v>1560</v>
      </c>
      <c r="H30" s="229">
        <v>9</v>
      </c>
      <c r="I30" s="230">
        <f>H30*E30</f>
        <v>4680</v>
      </c>
      <c r="J30" s="92">
        <f t="shared" si="0"/>
        <v>-0.7804878048780488</v>
      </c>
      <c r="K30" s="93">
        <f t="shared" si="0"/>
        <v>-0.7857142857142857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2</v>
      </c>
      <c r="I31" s="230">
        <f>H31*E31</f>
        <v>1200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5</v>
      </c>
      <c r="G32" s="240">
        <f>SUM(G29:G31)</f>
        <v>2440</v>
      </c>
      <c r="H32" s="241">
        <f>SUM(H29:H31)</f>
        <v>23</v>
      </c>
      <c r="I32" s="242">
        <f>SUM(I29:I31)</f>
        <v>11160</v>
      </c>
      <c r="J32" s="118">
        <f t="shared" si="0"/>
        <v>-0.7578947368421053</v>
      </c>
      <c r="K32" s="119">
        <f t="shared" si="0"/>
        <v>-0.7552631578947369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5</v>
      </c>
      <c r="G33" s="244">
        <f>SUM(G28,G32)</f>
        <v>2440</v>
      </c>
      <c r="H33" s="245">
        <f>H32+H28</f>
        <v>29</v>
      </c>
      <c r="I33" s="246">
        <f>I32+I28</f>
        <v>12670</v>
      </c>
      <c r="J33" s="125">
        <f t="shared" si="0"/>
        <v>-0.7603305785123967</v>
      </c>
      <c r="K33" s="126">
        <f t="shared" si="0"/>
        <v>-0.75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5</v>
      </c>
      <c r="G34" s="249">
        <f>G15+G24+G33</f>
        <v>2440</v>
      </c>
      <c r="H34" s="250">
        <f>H15+H24+H33</f>
        <v>39</v>
      </c>
      <c r="I34" s="251">
        <f>I15+I24+I33</f>
        <v>18880</v>
      </c>
      <c r="J34" s="161">
        <f t="shared" si="0"/>
        <v>-0.8194444444444444</v>
      </c>
      <c r="K34" s="162">
        <f t="shared" si="0"/>
        <v>-0.8038033877169282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1</v>
      </c>
      <c r="G35" s="253">
        <f>F35*E35</f>
        <v>990</v>
      </c>
      <c r="H35" s="254">
        <v>10</v>
      </c>
      <c r="I35" s="255">
        <f>H35*E35</f>
        <v>9900</v>
      </c>
      <c r="J35" s="81">
        <f t="shared" si="0"/>
        <v>0</v>
      </c>
      <c r="K35" s="82">
        <f t="shared" si="0"/>
        <v>-0.3125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1</v>
      </c>
      <c r="G36" s="258">
        <f>G35</f>
        <v>990</v>
      </c>
      <c r="H36" s="259">
        <f>H35</f>
        <v>10</v>
      </c>
      <c r="I36" s="260">
        <f>I35</f>
        <v>9900</v>
      </c>
      <c r="J36" s="101">
        <f t="shared" si="0"/>
        <v>0</v>
      </c>
      <c r="K36" s="102">
        <f t="shared" si="0"/>
        <v>-0.3125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1</v>
      </c>
      <c r="G43" s="249">
        <f>G42+G36</f>
        <v>990</v>
      </c>
      <c r="H43" s="250">
        <f>H42+H36</f>
        <v>10</v>
      </c>
      <c r="I43" s="251">
        <f>I42+I36</f>
        <v>9900</v>
      </c>
      <c r="J43" s="161">
        <f t="shared" si="0"/>
        <v>-0.5238095238095238</v>
      </c>
      <c r="K43" s="162">
        <f t="shared" si="0"/>
        <v>-0.35504885993485347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6</v>
      </c>
      <c r="G83" s="212">
        <f>G82+G71+G43+G34</f>
        <v>3430</v>
      </c>
      <c r="H83" s="279">
        <f>H82+H71+H43+H34</f>
        <v>49</v>
      </c>
      <c r="I83" s="280">
        <f>I82+I71+I43+I34</f>
        <v>28780</v>
      </c>
      <c r="J83" s="281">
        <f>IFERROR(H83/L83-1,"-")</f>
        <v>-0.8642659279778393</v>
      </c>
      <c r="K83" s="282">
        <f>IFERROR(I83/M83-1,"-")</f>
        <v>-0.8263859564456777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85" zoomScaleNormal="85">
      <selection activeCell="Y17" sqref="Y1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66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67</v>
      </c>
      <c r="G5" s="215"/>
      <c r="H5" s="216" t="s">
        <v>68</v>
      </c>
      <c r="I5" s="217"/>
      <c r="J5" s="62" t="s">
        <v>69</v>
      </c>
      <c r="K5" s="63"/>
      <c r="L5" s="289" t="s">
        <v>70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N38" si="1">IFERROR(H7/P7-1,"-")</f>
        <v>-1</v>
      </c>
      <c r="O7" s="82">
        <f t="shared" ref="O7:O38" si="2">IFERROR(I7/Q7-1,"-")</f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2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2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2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1</v>
      </c>
      <c r="G11" s="236">
        <f>F11*E11</f>
        <v>550</v>
      </c>
      <c r="H11" s="237">
        <v>5</v>
      </c>
      <c r="I11" s="238">
        <f>H11*E11</f>
        <v>2750</v>
      </c>
      <c r="J11" s="309">
        <f>IFERROR(H11/L11-1,"-")</f>
        <v>-0.16666666666666663</v>
      </c>
      <c r="K11" s="310">
        <f t="shared" si="0"/>
        <v>-0.1352201257861635</v>
      </c>
      <c r="L11" s="112">
        <v>6</v>
      </c>
      <c r="M11" s="109">
        <v>3180</v>
      </c>
      <c r="N11" s="110">
        <f t="shared" si="1"/>
        <v>-0.75</v>
      </c>
      <c r="O11" s="111">
        <f t="shared" si="2"/>
        <v>-0.7405660377358491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302">
        <f t="shared" si="0"/>
        <v>-0.7142857142857143</v>
      </c>
      <c r="K12" s="303">
        <f t="shared" si="0"/>
        <v>-0.6986607142857143</v>
      </c>
      <c r="L12" s="94">
        <v>7</v>
      </c>
      <c r="M12" s="91">
        <v>4480</v>
      </c>
      <c r="N12" s="92">
        <f t="shared" si="1"/>
        <v>-0.9285714285714286</v>
      </c>
      <c r="O12" s="93">
        <f t="shared" si="2"/>
        <v>-0.921875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1</v>
      </c>
      <c r="G13" s="228">
        <f>F13*E13</f>
        <v>810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2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2</v>
      </c>
      <c r="G14" s="233">
        <f>SUM(G11:G13)</f>
        <v>1360</v>
      </c>
      <c r="H14" s="234">
        <f>SUM(H11:H13)</f>
        <v>10</v>
      </c>
      <c r="I14" s="235">
        <f>SUM(I11:I13)</f>
        <v>6530</v>
      </c>
      <c r="J14" s="306">
        <f t="shared" si="0"/>
        <v>-0.23076923076923073</v>
      </c>
      <c r="K14" s="307">
        <f t="shared" si="0"/>
        <v>-0.14751958224543082</v>
      </c>
      <c r="L14" s="99">
        <f>SUM(L11:L13)</f>
        <v>13</v>
      </c>
      <c r="M14" s="100">
        <f>SUM(M11:M13)</f>
        <v>7660</v>
      </c>
      <c r="N14" s="101">
        <f t="shared" si="1"/>
        <v>-0.7916666666666666</v>
      </c>
      <c r="O14" s="102">
        <f t="shared" si="2"/>
        <v>-0.7657819225251076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2</v>
      </c>
      <c r="G15" s="271">
        <f>SUM(G10,G14)</f>
        <v>1360</v>
      </c>
      <c r="H15" s="272">
        <f>H14+H10</f>
        <v>10</v>
      </c>
      <c r="I15" s="273">
        <f>I14+I10</f>
        <v>6530</v>
      </c>
      <c r="J15" s="314">
        <f t="shared" si="0"/>
        <v>-0.2857142857142857</v>
      </c>
      <c r="K15" s="315">
        <f t="shared" si="0"/>
        <v>-0.16602809706257982</v>
      </c>
      <c r="L15" s="172">
        <f>L14+L10</f>
        <v>14</v>
      </c>
      <c r="M15" s="173">
        <f>M14+M10</f>
        <v>7830</v>
      </c>
      <c r="N15" s="174">
        <f t="shared" si="1"/>
        <v>-0.8245614035087719</v>
      </c>
      <c r="O15" s="175">
        <f t="shared" si="2"/>
        <v>-0.7838464084740152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2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2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2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2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2</v>
      </c>
      <c r="M20" s="109">
        <v>880</v>
      </c>
      <c r="N20" s="110">
        <f t="shared" si="1"/>
        <v>-1</v>
      </c>
      <c r="O20" s="111">
        <f t="shared" si="2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-0.5</v>
      </c>
      <c r="K21" s="303">
        <f t="shared" si="0"/>
        <v>-0.5</v>
      </c>
      <c r="L21" s="94">
        <v>4</v>
      </c>
      <c r="M21" s="91">
        <v>2080</v>
      </c>
      <c r="N21" s="92">
        <f t="shared" si="1"/>
        <v>-0.8461538461538461</v>
      </c>
      <c r="O21" s="93">
        <f t="shared" si="2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2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-0.6666666666666667</v>
      </c>
      <c r="K23" s="307">
        <f t="shared" si="0"/>
        <v>-0.6486486486486487</v>
      </c>
      <c r="L23" s="99">
        <f>SUM(L20:L22)</f>
        <v>6</v>
      </c>
      <c r="M23" s="100">
        <f>SUM(M20:M22)</f>
        <v>2960</v>
      </c>
      <c r="N23" s="101">
        <f t="shared" si="1"/>
        <v>-0.9333333333333333</v>
      </c>
      <c r="O23" s="102">
        <f t="shared" si="2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-0.6666666666666667</v>
      </c>
      <c r="K24" s="315">
        <f t="shared" si="0"/>
        <v>-0.6486486486486487</v>
      </c>
      <c r="L24" s="172">
        <f>L23+L19</f>
        <v>6</v>
      </c>
      <c r="M24" s="173">
        <f>M23+M19</f>
        <v>2960</v>
      </c>
      <c r="N24" s="174">
        <f t="shared" si="1"/>
        <v>-0.9473684210526316</v>
      </c>
      <c r="O24" s="175">
        <f t="shared" si="2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-0.8571428571428572</v>
      </c>
      <c r="K25" s="310">
        <f t="shared" si="0"/>
        <v>-0.8571428571428572</v>
      </c>
      <c r="L25" s="112">
        <v>7</v>
      </c>
      <c r="M25" s="109">
        <v>1330</v>
      </c>
      <c r="N25" s="110">
        <f t="shared" si="1"/>
        <v>-0.9473684210526316</v>
      </c>
      <c r="O25" s="111">
        <f t="shared" si="2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302">
        <f t="shared" si="0"/>
        <v>0</v>
      </c>
      <c r="K26" s="303">
        <f t="shared" si="0"/>
        <v>0</v>
      </c>
      <c r="L26" s="94">
        <v>1</v>
      </c>
      <c r="M26" s="91">
        <v>120</v>
      </c>
      <c r="N26" s="92" t="str">
        <f t="shared" si="1"/>
        <v>-</v>
      </c>
      <c r="O26" s="93" t="str">
        <f t="shared" si="2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-0.4285714285714286</v>
      </c>
      <c r="O27" s="93">
        <f t="shared" si="2"/>
        <v>-0.4470046082949308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306">
        <f t="shared" si="0"/>
        <v>-0.25</v>
      </c>
      <c r="K28" s="307">
        <f t="shared" si="0"/>
        <v>0.04137931034482767</v>
      </c>
      <c r="L28" s="99">
        <f>SUM(L25:L27)</f>
        <v>8</v>
      </c>
      <c r="M28" s="100">
        <f>SUM(M25:M27)</f>
        <v>1450</v>
      </c>
      <c r="N28" s="101">
        <f t="shared" si="1"/>
        <v>-0.7692307692307692</v>
      </c>
      <c r="O28" s="102">
        <f t="shared" si="2"/>
        <v>-0.702755905511811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9</v>
      </c>
      <c r="G29" s="236">
        <f>F29*E29</f>
        <v>3960</v>
      </c>
      <c r="H29" s="237">
        <v>21</v>
      </c>
      <c r="I29" s="238">
        <f>H29*E29</f>
        <v>9240</v>
      </c>
      <c r="J29" s="309">
        <f t="shared" si="0"/>
        <v>0.23529411764705888</v>
      </c>
      <c r="K29" s="310">
        <f t="shared" si="0"/>
        <v>0.23529411764705888</v>
      </c>
      <c r="L29" s="112">
        <v>17</v>
      </c>
      <c r="M29" s="109">
        <v>7480</v>
      </c>
      <c r="N29" s="110">
        <f t="shared" si="1"/>
        <v>-0.6111111111111112</v>
      </c>
      <c r="O29" s="111">
        <f t="shared" si="2"/>
        <v>-0.6111111111111112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3</v>
      </c>
      <c r="G30" s="228">
        <f>F30*E30</f>
        <v>1560</v>
      </c>
      <c r="H30" s="229">
        <v>12</v>
      </c>
      <c r="I30" s="230">
        <f>H30*E30</f>
        <v>6240</v>
      </c>
      <c r="J30" s="302">
        <f t="shared" si="0"/>
        <v>-0.1428571428571429</v>
      </c>
      <c r="K30" s="303">
        <f t="shared" si="0"/>
        <v>-0.1428571428571429</v>
      </c>
      <c r="L30" s="94">
        <v>14</v>
      </c>
      <c r="M30" s="91">
        <v>7280</v>
      </c>
      <c r="N30" s="92">
        <f t="shared" si="1"/>
        <v>-0.7073170731707317</v>
      </c>
      <c r="O30" s="93">
        <f t="shared" si="2"/>
        <v>-0.7142857142857143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3</v>
      </c>
      <c r="I31" s="230">
        <f>H31*E31</f>
        <v>1800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2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13</v>
      </c>
      <c r="G32" s="233">
        <f>SUM(G29:G31)</f>
        <v>6120</v>
      </c>
      <c r="H32" s="234">
        <f>SUM(H29:H31)</f>
        <v>36</v>
      </c>
      <c r="I32" s="235">
        <f>SUM(I29:I31)</f>
        <v>17280</v>
      </c>
      <c r="J32" s="306">
        <f t="shared" si="0"/>
        <v>0.16129032258064524</v>
      </c>
      <c r="K32" s="307">
        <f t="shared" si="0"/>
        <v>0.1707317073170731</v>
      </c>
      <c r="L32" s="99">
        <f>SUM(L29:L31)</f>
        <v>31</v>
      </c>
      <c r="M32" s="100">
        <f>SUM(M29:M31)</f>
        <v>14760</v>
      </c>
      <c r="N32" s="101">
        <f t="shared" si="1"/>
        <v>-0.6210526315789473</v>
      </c>
      <c r="O32" s="102">
        <f t="shared" si="2"/>
        <v>-0.6210526315789473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13</v>
      </c>
      <c r="G33" s="271">
        <f>SUM(G28,G32)</f>
        <v>6120</v>
      </c>
      <c r="H33" s="272">
        <f>H32+H28</f>
        <v>42</v>
      </c>
      <c r="I33" s="273">
        <f>I32+I28</f>
        <v>18790</v>
      </c>
      <c r="J33" s="314">
        <f t="shared" si="0"/>
        <v>0.07692307692307687</v>
      </c>
      <c r="K33" s="315">
        <f t="shared" si="0"/>
        <v>0.1591610117211597</v>
      </c>
      <c r="L33" s="172">
        <f>L32+L28</f>
        <v>39</v>
      </c>
      <c r="M33" s="173">
        <f>M32+M28</f>
        <v>16210</v>
      </c>
      <c r="N33" s="174">
        <f t="shared" si="1"/>
        <v>-0.6528925619834711</v>
      </c>
      <c r="O33" s="175">
        <f t="shared" si="2"/>
        <v>-0.6292423046566693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15</v>
      </c>
      <c r="G34" s="249">
        <f>G15+G24+G33</f>
        <v>7480</v>
      </c>
      <c r="H34" s="250">
        <f>H15+H24+H33</f>
        <v>54</v>
      </c>
      <c r="I34" s="251">
        <f>I15+I24+I33</f>
        <v>26360</v>
      </c>
      <c r="J34" s="316">
        <f t="shared" si="0"/>
        <v>-0.0847457627118644</v>
      </c>
      <c r="K34" s="317">
        <f t="shared" si="0"/>
        <v>-0.02370370370370367</v>
      </c>
      <c r="L34" s="160">
        <f>L15+L24+L33</f>
        <v>59</v>
      </c>
      <c r="M34" s="159">
        <f>M15+M24+M33</f>
        <v>27000</v>
      </c>
      <c r="N34" s="161">
        <f t="shared" si="1"/>
        <v>-0.75</v>
      </c>
      <c r="O34" s="162">
        <f t="shared" si="2"/>
        <v>-0.7260729502234231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3</v>
      </c>
      <c r="G35" s="253">
        <f>F35*E35</f>
        <v>2970</v>
      </c>
      <c r="H35" s="254">
        <v>13</v>
      </c>
      <c r="I35" s="255">
        <f>H35*E35</f>
        <v>12870</v>
      </c>
      <c r="J35" s="299">
        <f t="shared" si="0"/>
        <v>2.25</v>
      </c>
      <c r="K35" s="300">
        <f t="shared" si="0"/>
        <v>1.68125</v>
      </c>
      <c r="L35" s="141">
        <v>4</v>
      </c>
      <c r="M35" s="140">
        <v>4800</v>
      </c>
      <c r="N35" s="81">
        <f t="shared" si="1"/>
        <v>0.30000000000000004</v>
      </c>
      <c r="O35" s="82">
        <f t="shared" si="2"/>
        <v>-0.10624999999999996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3</v>
      </c>
      <c r="G36" s="258">
        <f>G35</f>
        <v>2970</v>
      </c>
      <c r="H36" s="259">
        <f>H35</f>
        <v>13</v>
      </c>
      <c r="I36" s="260">
        <f>I35</f>
        <v>12870</v>
      </c>
      <c r="J36" s="306">
        <f t="shared" si="0"/>
        <v>2.25</v>
      </c>
      <c r="K36" s="307">
        <f t="shared" si="0"/>
        <v>1.68125</v>
      </c>
      <c r="L36" s="145">
        <f>L35</f>
        <v>4</v>
      </c>
      <c r="M36" s="144">
        <f>M35</f>
        <v>4800</v>
      </c>
      <c r="N36" s="101">
        <f t="shared" si="1"/>
        <v>0.30000000000000004</v>
      </c>
      <c r="O36" s="102">
        <f t="shared" si="2"/>
        <v>-0.10624999999999996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2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2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N70" si="3">IFERROR(H39/P39-1,"-")</f>
        <v>-1</v>
      </c>
      <c r="O39" s="93">
        <f t="shared" ref="O39:O70" si="4">IFERROR(I39/Q39-1,"-")</f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3"/>
        <v>-1</v>
      </c>
      <c r="O40" s="93">
        <f t="shared" si="4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3"/>
        <v>-</v>
      </c>
      <c r="O41" s="93" t="str">
        <f t="shared" si="4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3"/>
        <v>-1</v>
      </c>
      <c r="O42" s="102">
        <f t="shared" si="4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3</v>
      </c>
      <c r="G43" s="249">
        <f>G42+G36</f>
        <v>2970</v>
      </c>
      <c r="H43" s="250">
        <f>H42+H36</f>
        <v>13</v>
      </c>
      <c r="I43" s="251">
        <f>I42+I36</f>
        <v>12870</v>
      </c>
      <c r="J43" s="316">
        <f t="shared" si="0"/>
        <v>2.25</v>
      </c>
      <c r="K43" s="317">
        <f t="shared" si="0"/>
        <v>1.68125</v>
      </c>
      <c r="L43" s="160">
        <f>L42+L36</f>
        <v>4</v>
      </c>
      <c r="M43" s="159">
        <f>M42+M36</f>
        <v>4800</v>
      </c>
      <c r="N43" s="161">
        <f t="shared" si="3"/>
        <v>-0.38095238095238093</v>
      </c>
      <c r="O43" s="162">
        <f t="shared" si="4"/>
        <v>-0.16156351791530943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3"/>
        <v>-1</v>
      </c>
      <c r="O44" s="82">
        <f t="shared" si="4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3"/>
        <v>-</v>
      </c>
      <c r="O45" s="93" t="str">
        <f t="shared" si="4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3"/>
        <v>-</v>
      </c>
      <c r="O46" s="93" t="str">
        <f t="shared" si="4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3"/>
        <v>-1</v>
      </c>
      <c r="O47" s="102">
        <f t="shared" si="4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3"/>
        <v>-1</v>
      </c>
      <c r="O48" s="111">
        <f t="shared" si="4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3"/>
        <v>-1</v>
      </c>
      <c r="O49" s="93">
        <f t="shared" si="4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3"/>
        <v>-</v>
      </c>
      <c r="O50" s="93" t="str">
        <f t="shared" si="4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3"/>
        <v>-1</v>
      </c>
      <c r="O51" s="102">
        <f t="shared" si="4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3"/>
        <v>-1</v>
      </c>
      <c r="O52" s="175">
        <f t="shared" si="4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3"/>
        <v>-</v>
      </c>
      <c r="O53" s="111" t="str">
        <f t="shared" si="4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3"/>
        <v>-</v>
      </c>
      <c r="O54" s="93" t="str">
        <f t="shared" si="4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3"/>
        <v>-</v>
      </c>
      <c r="O55" s="93" t="str">
        <f t="shared" si="4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3"/>
        <v>-</v>
      </c>
      <c r="O56" s="102" t="str">
        <f t="shared" si="4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3"/>
        <v>-</v>
      </c>
      <c r="O57" s="111" t="str">
        <f t="shared" si="4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3"/>
        <v>-</v>
      </c>
      <c r="O58" s="93" t="str">
        <f t="shared" si="4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3"/>
        <v>-</v>
      </c>
      <c r="O59" s="93" t="str">
        <f t="shared" si="4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3"/>
        <v>-</v>
      </c>
      <c r="O60" s="102" t="str">
        <f t="shared" si="4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3"/>
        <v>-</v>
      </c>
      <c r="O61" s="175" t="str">
        <f t="shared" si="4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3"/>
        <v>-1</v>
      </c>
      <c r="O62" s="111">
        <f t="shared" si="4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3"/>
        <v>-</v>
      </c>
      <c r="O63" s="93" t="str">
        <f t="shared" si="4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3"/>
        <v>-1</v>
      </c>
      <c r="O64" s="93">
        <f t="shared" si="4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3"/>
        <v>-1</v>
      </c>
      <c r="O65" s="102">
        <f t="shared" si="4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3"/>
        <v>-1</v>
      </c>
      <c r="O66" s="111">
        <f t="shared" si="4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3"/>
        <v>-1</v>
      </c>
      <c r="O67" s="93">
        <f t="shared" si="4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3"/>
        <v>-</v>
      </c>
      <c r="O68" s="93" t="str">
        <f t="shared" si="4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3"/>
        <v>-1</v>
      </c>
      <c r="O69" s="102">
        <f t="shared" si="4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3"/>
        <v>-1</v>
      </c>
      <c r="O70" s="175">
        <f t="shared" si="4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5">IFERROR(H71/L71-1,"-")</f>
        <v>-</v>
      </c>
      <c r="K71" s="317" t="str">
        <f t="shared" si="5"/>
        <v>-</v>
      </c>
      <c r="L71" s="160">
        <f>L70+L61+L52</f>
        <v>0</v>
      </c>
      <c r="M71" s="159">
        <f>M70+M61+M52</f>
        <v>0</v>
      </c>
      <c r="N71" s="161">
        <f t="shared" ref="N71:N83" si="6">IFERROR(H71/P71-1,"-")</f>
        <v>-1</v>
      </c>
      <c r="O71" s="162">
        <f t="shared" ref="O71:O83" si="7">IFERROR(I71/Q71-1,"-")</f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5"/>
        <v>-</v>
      </c>
      <c r="K72" s="300" t="str">
        <f t="shared" si="5"/>
        <v>-</v>
      </c>
      <c r="L72" s="141"/>
      <c r="M72" s="140"/>
      <c r="N72" s="81">
        <f t="shared" si="6"/>
        <v>-1</v>
      </c>
      <c r="O72" s="82">
        <f t="shared" si="7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5"/>
        <v>-</v>
      </c>
      <c r="K73" s="303" t="str">
        <f t="shared" si="5"/>
        <v>-</v>
      </c>
      <c r="L73" s="153"/>
      <c r="M73" s="152"/>
      <c r="N73" s="92" t="str">
        <f t="shared" si="6"/>
        <v>-</v>
      </c>
      <c r="O73" s="93" t="str">
        <f t="shared" si="7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5"/>
        <v>-</v>
      </c>
      <c r="K74" s="303" t="str">
        <f t="shared" si="5"/>
        <v>-</v>
      </c>
      <c r="L74" s="153"/>
      <c r="M74" s="152"/>
      <c r="N74" s="92">
        <f t="shared" si="6"/>
        <v>-1</v>
      </c>
      <c r="O74" s="93">
        <f t="shared" si="7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5"/>
        <v>-</v>
      </c>
      <c r="K75" s="307" t="str">
        <f t="shared" si="5"/>
        <v>-</v>
      </c>
      <c r="L75" s="145">
        <f>SUM(L72:L74)</f>
        <v>0</v>
      </c>
      <c r="M75" s="144">
        <f>SUM(M72:M74)</f>
        <v>0</v>
      </c>
      <c r="N75" s="101">
        <f t="shared" si="6"/>
        <v>-1</v>
      </c>
      <c r="O75" s="102">
        <f t="shared" si="7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5"/>
        <v>-</v>
      </c>
      <c r="K76" s="310" t="str">
        <f t="shared" si="5"/>
        <v>-</v>
      </c>
      <c r="L76" s="150"/>
      <c r="M76" s="149"/>
      <c r="N76" s="110">
        <f t="shared" si="6"/>
        <v>-1</v>
      </c>
      <c r="O76" s="111">
        <f t="shared" si="7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5"/>
        <v>-</v>
      </c>
      <c r="K77" s="303" t="str">
        <f t="shared" si="5"/>
        <v>-</v>
      </c>
      <c r="L77" s="153"/>
      <c r="M77" s="152"/>
      <c r="N77" s="92">
        <f t="shared" si="6"/>
        <v>-1</v>
      </c>
      <c r="O77" s="93">
        <f t="shared" si="7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5"/>
        <v>-</v>
      </c>
      <c r="K78" s="303" t="str">
        <f t="shared" si="5"/>
        <v>-</v>
      </c>
      <c r="L78" s="153"/>
      <c r="M78" s="152"/>
      <c r="N78" s="92" t="str">
        <f t="shared" si="6"/>
        <v>-</v>
      </c>
      <c r="O78" s="93" t="str">
        <f t="shared" si="7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5"/>
        <v>-</v>
      </c>
      <c r="K79" s="307" t="str">
        <f t="shared" si="5"/>
        <v>-</v>
      </c>
      <c r="L79" s="145">
        <f>SUM(L76:L78)</f>
        <v>0</v>
      </c>
      <c r="M79" s="144">
        <f>SUM(M76:M78)</f>
        <v>0</v>
      </c>
      <c r="N79" s="101">
        <f t="shared" si="6"/>
        <v>-1</v>
      </c>
      <c r="O79" s="102">
        <f t="shared" si="7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5"/>
        <v>-</v>
      </c>
      <c r="K80" s="310" t="str">
        <f t="shared" si="5"/>
        <v>-</v>
      </c>
      <c r="L80" s="150"/>
      <c r="M80" s="149"/>
      <c r="N80" s="110" t="str">
        <f t="shared" si="6"/>
        <v>-</v>
      </c>
      <c r="O80" s="111" t="str">
        <f t="shared" si="7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5"/>
        <v>-</v>
      </c>
      <c r="K81" s="307" t="str">
        <f t="shared" si="5"/>
        <v>-</v>
      </c>
      <c r="L81" s="145">
        <f>SUM(L80)</f>
        <v>0</v>
      </c>
      <c r="M81" s="144">
        <f>SUM(M80)</f>
        <v>0</v>
      </c>
      <c r="N81" s="101" t="str">
        <f t="shared" si="6"/>
        <v>-</v>
      </c>
      <c r="O81" s="102" t="str">
        <f t="shared" si="7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5"/>
        <v>-</v>
      </c>
      <c r="K82" s="317" t="str">
        <f t="shared" si="5"/>
        <v>-</v>
      </c>
      <c r="L82" s="204">
        <f>L81+L79+L75</f>
        <v>0</v>
      </c>
      <c r="M82" s="205">
        <f>M81+M79+M75</f>
        <v>0</v>
      </c>
      <c r="N82" s="161">
        <f t="shared" si="6"/>
        <v>-1</v>
      </c>
      <c r="O82" s="162">
        <f t="shared" si="7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18</v>
      </c>
      <c r="G83" s="342">
        <f>G82+G71+G43+G34</f>
        <v>10450</v>
      </c>
      <c r="H83" s="343">
        <f>H82+H71+H43+H34</f>
        <v>67</v>
      </c>
      <c r="I83" s="344">
        <f>I82+I71+I43+I34</f>
        <v>39230</v>
      </c>
      <c r="J83" s="345">
        <f t="shared" si="5"/>
        <v>0.06349206349206349</v>
      </c>
      <c r="K83" s="346">
        <f t="shared" si="5"/>
        <v>0.23364779874213837</v>
      </c>
      <c r="L83" s="341">
        <f>L82+L71+L43+L34</f>
        <v>63</v>
      </c>
      <c r="M83" s="347">
        <f>M82+M71+M43+M34</f>
        <v>31800</v>
      </c>
      <c r="N83" s="348">
        <f t="shared" si="6"/>
        <v>-0.814404432132964</v>
      </c>
      <c r="O83" s="349">
        <f t="shared" si="7"/>
        <v>-0.7633468058152862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"/>
  <sheetViews>
    <sheetView workbookViewId="0" zoomScale="100" zoomScaleNormal="100">
      <selection activeCell="H27" sqref="H27"/>
    </sheetView>
  </sheetViews>
  <sheetFormatPr defaultRowHeight="16.5" outlineLevelRow="0" outlineLevelCol="0" x14ac:dyDescent="0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85" zoomScaleNormal="85">
      <selection activeCell="P30" sqref="P30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72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73</v>
      </c>
      <c r="G5" s="215"/>
      <c r="H5" s="216" t="s">
        <v>74</v>
      </c>
      <c r="I5" s="217"/>
      <c r="J5" s="62" t="s">
        <v>69</v>
      </c>
      <c r="K5" s="63"/>
      <c r="L5" s="289" t="s">
        <v>75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2</v>
      </c>
      <c r="G11" s="236">
        <f>F11*E11</f>
        <v>1100</v>
      </c>
      <c r="H11" s="237">
        <v>7</v>
      </c>
      <c r="I11" s="238">
        <f>H11*E11</f>
        <v>3850</v>
      </c>
      <c r="J11" s="309">
        <f>IFERROR(H11/L11-1,"-")</f>
        <v>-0.125</v>
      </c>
      <c r="K11" s="310">
        <f t="shared" si="0"/>
        <v>-0.09198113207547165</v>
      </c>
      <c r="L11" s="112">
        <v>8</v>
      </c>
      <c r="M11" s="109">
        <v>4240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2</v>
      </c>
      <c r="G12" s="228">
        <f>F12*E12</f>
        <v>1350</v>
      </c>
      <c r="H12" s="229">
        <v>4</v>
      </c>
      <c r="I12" s="230">
        <f>H12*E12</f>
        <v>2700</v>
      </c>
      <c r="J12" s="302">
        <f t="shared" si="0"/>
        <v>-0.5</v>
      </c>
      <c r="K12" s="303">
        <f t="shared" si="0"/>
        <v>-0.47265625</v>
      </c>
      <c r="L12" s="94">
        <v>8</v>
      </c>
      <c r="M12" s="91">
        <v>5120</v>
      </c>
      <c r="N12" s="92">
        <f t="shared" si="1"/>
        <v>-0.8571428571428572</v>
      </c>
      <c r="O12" s="93">
        <f t="shared" si="1"/>
        <v>-0.84375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4</v>
      </c>
      <c r="G14" s="233">
        <f>SUM(G11:G13)</f>
        <v>2450</v>
      </c>
      <c r="H14" s="234">
        <f>SUM(H11:H13)</f>
        <v>14</v>
      </c>
      <c r="I14" s="235">
        <f>SUM(I11:I13)</f>
        <v>8980</v>
      </c>
      <c r="J14" s="306">
        <f t="shared" si="0"/>
        <v>-0.125</v>
      </c>
      <c r="K14" s="307">
        <f t="shared" si="0"/>
        <v>-0.040598290598290565</v>
      </c>
      <c r="L14" s="99">
        <f>SUM(L11:L13)</f>
        <v>16</v>
      </c>
      <c r="M14" s="100">
        <f>SUM(M11:M13)</f>
        <v>9360</v>
      </c>
      <c r="N14" s="101">
        <f t="shared" si="1"/>
        <v>-0.7083333333333333</v>
      </c>
      <c r="O14" s="102">
        <f t="shared" si="1"/>
        <v>-0.6779053084648494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4</v>
      </c>
      <c r="G15" s="271">
        <f>SUM(G10,G14)</f>
        <v>2450</v>
      </c>
      <c r="H15" s="272">
        <f>H14+H10</f>
        <v>14</v>
      </c>
      <c r="I15" s="273">
        <f>I14+I10</f>
        <v>8980</v>
      </c>
      <c r="J15" s="314">
        <f t="shared" si="0"/>
        <v>-0.17647058823529416</v>
      </c>
      <c r="K15" s="315">
        <f t="shared" si="0"/>
        <v>-0.057712486883525704</v>
      </c>
      <c r="L15" s="172">
        <f>L14+L10</f>
        <v>17</v>
      </c>
      <c r="M15" s="173">
        <f>M14+M10</f>
        <v>9530</v>
      </c>
      <c r="N15" s="174">
        <f t="shared" si="1"/>
        <v>-0.7543859649122807</v>
      </c>
      <c r="O15" s="175">
        <f t="shared" si="1"/>
        <v>-0.7027474346242966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2</v>
      </c>
      <c r="M20" s="109">
        <v>880</v>
      </c>
      <c r="N20" s="110">
        <f t="shared" si="1"/>
        <v>-1</v>
      </c>
      <c r="O20" s="111">
        <f t="shared" si="1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-0.5</v>
      </c>
      <c r="K21" s="303">
        <f t="shared" si="0"/>
        <v>-0.5</v>
      </c>
      <c r="L21" s="94">
        <v>4</v>
      </c>
      <c r="M21" s="91">
        <v>2080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-0.6666666666666667</v>
      </c>
      <c r="K23" s="307">
        <f t="shared" si="0"/>
        <v>-0.6486486486486487</v>
      </c>
      <c r="L23" s="99">
        <f>SUM(L20:L22)</f>
        <v>6</v>
      </c>
      <c r="M23" s="100">
        <f>SUM(M20:M22)</f>
        <v>2960</v>
      </c>
      <c r="N23" s="101">
        <f t="shared" si="1"/>
        <v>-0.9333333333333333</v>
      </c>
      <c r="O23" s="102">
        <f t="shared" si="1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-0.6666666666666667</v>
      </c>
      <c r="K24" s="315">
        <f t="shared" si="0"/>
        <v>-0.6486486486486487</v>
      </c>
      <c r="L24" s="172">
        <f>L23+L19</f>
        <v>6</v>
      </c>
      <c r="M24" s="173">
        <f>M23+M19</f>
        <v>2960</v>
      </c>
      <c r="N24" s="174">
        <f t="shared" si="1"/>
        <v>-0.9473684210526316</v>
      </c>
      <c r="O24" s="175">
        <f t="shared" si="1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-0.875</v>
      </c>
      <c r="K25" s="310">
        <f t="shared" si="0"/>
        <v>-0.875</v>
      </c>
      <c r="L25" s="112">
        <v>8</v>
      </c>
      <c r="M25" s="109">
        <v>1520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302">
        <f t="shared" si="0"/>
        <v>-0.6666666666666667</v>
      </c>
      <c r="K26" s="303">
        <f t="shared" si="0"/>
        <v>-0.6666666666666667</v>
      </c>
      <c r="L26" s="94">
        <v>3</v>
      </c>
      <c r="M26" s="91">
        <v>360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-0.4285714285714286</v>
      </c>
      <c r="O27" s="93">
        <f t="shared" si="1"/>
        <v>-0.4470046082949308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306">
        <f t="shared" si="0"/>
        <v>-0.4545454545454546</v>
      </c>
      <c r="K28" s="307">
        <f t="shared" si="0"/>
        <v>-0.19680851063829785</v>
      </c>
      <c r="L28" s="99">
        <f>SUM(L25:L27)</f>
        <v>11</v>
      </c>
      <c r="M28" s="100">
        <f>SUM(M25:M27)</f>
        <v>1880</v>
      </c>
      <c r="N28" s="101">
        <f t="shared" si="1"/>
        <v>-0.7692307692307692</v>
      </c>
      <c r="O28" s="102">
        <f t="shared" si="1"/>
        <v>-0.702755905511811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4</v>
      </c>
      <c r="G29" s="236">
        <f>F29*E29</f>
        <v>1760</v>
      </c>
      <c r="H29" s="237">
        <v>25</v>
      </c>
      <c r="I29" s="238">
        <f>H29*E29</f>
        <v>11000</v>
      </c>
      <c r="J29" s="309">
        <f t="shared" si="0"/>
        <v>-0.07407407407407407</v>
      </c>
      <c r="K29" s="310">
        <f t="shared" si="0"/>
        <v>-0.07407407407407407</v>
      </c>
      <c r="L29" s="112">
        <v>27</v>
      </c>
      <c r="M29" s="109">
        <v>11880</v>
      </c>
      <c r="N29" s="110">
        <f t="shared" si="1"/>
        <v>-0.537037037037037</v>
      </c>
      <c r="O29" s="111">
        <f t="shared" si="1"/>
        <v>-0.537037037037037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0</v>
      </c>
      <c r="G30" s="228">
        <f>F30*E30</f>
        <v>0</v>
      </c>
      <c r="H30" s="229">
        <v>12</v>
      </c>
      <c r="I30" s="230">
        <f>H30*E30</f>
        <v>6240</v>
      </c>
      <c r="J30" s="302">
        <f t="shared" si="0"/>
        <v>-0.5384615384615384</v>
      </c>
      <c r="K30" s="303">
        <f t="shared" si="0"/>
        <v>-0.5384615384615384</v>
      </c>
      <c r="L30" s="94">
        <v>26</v>
      </c>
      <c r="M30" s="91">
        <v>13520</v>
      </c>
      <c r="N30" s="92">
        <f t="shared" si="1"/>
        <v>-0.7073170731707317</v>
      </c>
      <c r="O30" s="93">
        <f t="shared" si="1"/>
        <v>-0.7142857142857143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4</v>
      </c>
      <c r="I31" s="230">
        <f>H31*E31</f>
        <v>2400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5</v>
      </c>
      <c r="G32" s="233">
        <f>SUM(G29:G31)</f>
        <v>2360</v>
      </c>
      <c r="H32" s="234">
        <f>SUM(H29:H31)</f>
        <v>41</v>
      </c>
      <c r="I32" s="235">
        <f>SUM(I29:I31)</f>
        <v>19640</v>
      </c>
      <c r="J32" s="306">
        <f t="shared" si="0"/>
        <v>-0.2264150943396226</v>
      </c>
      <c r="K32" s="307">
        <f t="shared" si="0"/>
        <v>-0.22677165354330708</v>
      </c>
      <c r="L32" s="99">
        <f>SUM(L29:L31)</f>
        <v>53</v>
      </c>
      <c r="M32" s="100">
        <f>SUM(M29:M31)</f>
        <v>25400</v>
      </c>
      <c r="N32" s="101">
        <f t="shared" si="1"/>
        <v>-0.5684210526315789</v>
      </c>
      <c r="O32" s="102">
        <f t="shared" si="1"/>
        <v>-0.5692982456140351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5</v>
      </c>
      <c r="G33" s="271">
        <f>SUM(G28,G32)</f>
        <v>2360</v>
      </c>
      <c r="H33" s="272">
        <f>H32+H28</f>
        <v>47</v>
      </c>
      <c r="I33" s="273">
        <f>I32+I28</f>
        <v>21150</v>
      </c>
      <c r="J33" s="314">
        <f t="shared" si="0"/>
        <v>-0.265625</v>
      </c>
      <c r="K33" s="315">
        <f t="shared" si="0"/>
        <v>-0.2247067448680352</v>
      </c>
      <c r="L33" s="172">
        <f>L32+L28</f>
        <v>64</v>
      </c>
      <c r="M33" s="173">
        <f>M32+M28</f>
        <v>27280</v>
      </c>
      <c r="N33" s="174">
        <f t="shared" si="1"/>
        <v>-0.6115702479338843</v>
      </c>
      <c r="O33" s="175">
        <f t="shared" si="1"/>
        <v>-0.5826756116811365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9</v>
      </c>
      <c r="G34" s="249">
        <f>G15+G24+G33</f>
        <v>4810</v>
      </c>
      <c r="H34" s="250">
        <f>H15+H24+H33</f>
        <v>63</v>
      </c>
      <c r="I34" s="251">
        <f>I15+I24+I33</f>
        <v>31170</v>
      </c>
      <c r="J34" s="316">
        <f t="shared" si="0"/>
        <v>-0.27586206896551724</v>
      </c>
      <c r="K34" s="317">
        <f t="shared" si="0"/>
        <v>-0.21624339954739757</v>
      </c>
      <c r="L34" s="160">
        <f>L15+L24+L33</f>
        <v>87</v>
      </c>
      <c r="M34" s="159">
        <f>M15+M24+M33</f>
        <v>39770</v>
      </c>
      <c r="N34" s="161">
        <f t="shared" si="1"/>
        <v>-0.7083333333333333</v>
      </c>
      <c r="O34" s="162">
        <f t="shared" si="1"/>
        <v>-0.6760885378780006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f>F35*E35</f>
        <v>0</v>
      </c>
      <c r="H35" s="254">
        <v>13</v>
      </c>
      <c r="I35" s="255">
        <f>H35*E35</f>
        <v>12870</v>
      </c>
      <c r="J35" s="299">
        <f t="shared" si="0"/>
        <v>2.25</v>
      </c>
      <c r="K35" s="300">
        <f t="shared" si="0"/>
        <v>1.68125</v>
      </c>
      <c r="L35" s="141">
        <v>4</v>
      </c>
      <c r="M35" s="140">
        <v>4800</v>
      </c>
      <c r="N35" s="81">
        <f t="shared" si="1"/>
        <v>0.30000000000000004</v>
      </c>
      <c r="O35" s="82">
        <f t="shared" si="1"/>
        <v>-0.10624999999999996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13</v>
      </c>
      <c r="I36" s="260">
        <f>I35</f>
        <v>12870</v>
      </c>
      <c r="J36" s="306">
        <f t="shared" si="0"/>
        <v>2.25</v>
      </c>
      <c r="K36" s="307">
        <f t="shared" si="0"/>
        <v>1.68125</v>
      </c>
      <c r="L36" s="145">
        <f>L35</f>
        <v>4</v>
      </c>
      <c r="M36" s="144">
        <f>M35</f>
        <v>4800</v>
      </c>
      <c r="N36" s="101">
        <f t="shared" si="1"/>
        <v>0.30000000000000004</v>
      </c>
      <c r="O36" s="102">
        <f t="shared" si="1"/>
        <v>-0.10624999999999996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0</v>
      </c>
      <c r="G43" s="249">
        <f>G42+G36</f>
        <v>0</v>
      </c>
      <c r="H43" s="250">
        <f>H42+H36</f>
        <v>13</v>
      </c>
      <c r="I43" s="251">
        <f>I42+I36</f>
        <v>12870</v>
      </c>
      <c r="J43" s="316">
        <f t="shared" si="0"/>
        <v>2.25</v>
      </c>
      <c r="K43" s="317">
        <f t="shared" si="0"/>
        <v>1.68125</v>
      </c>
      <c r="L43" s="160">
        <f>L42+L36</f>
        <v>4</v>
      </c>
      <c r="M43" s="159">
        <f>M42+M36</f>
        <v>4800</v>
      </c>
      <c r="N43" s="161">
        <f t="shared" si="2"/>
        <v>-0.38095238095238093</v>
      </c>
      <c r="O43" s="162">
        <f t="shared" si="2"/>
        <v>-0.16156351791530943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3"/>
        <v>-</v>
      </c>
      <c r="K72" s="300" t="str">
        <f t="shared" si="3"/>
        <v>-</v>
      </c>
      <c r="L72" s="141"/>
      <c r="M72" s="140"/>
      <c r="N72" s="81">
        <f t="shared" si="4"/>
        <v>-1</v>
      </c>
      <c r="O72" s="82">
        <f t="shared" si="4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-1</v>
      </c>
      <c r="O74" s="93">
        <f t="shared" si="4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-1</v>
      </c>
      <c r="O75" s="102">
        <f t="shared" si="4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-1</v>
      </c>
      <c r="O76" s="111">
        <f t="shared" si="4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-1</v>
      </c>
      <c r="O77" s="93">
        <f t="shared" si="4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3"/>
        <v>-</v>
      </c>
      <c r="K79" s="307" t="str">
        <f t="shared" si="3"/>
        <v>-</v>
      </c>
      <c r="L79" s="145">
        <f>SUM(L76:L78)</f>
        <v>0</v>
      </c>
      <c r="M79" s="144">
        <f>SUM(M76:M78)</f>
        <v>0</v>
      </c>
      <c r="N79" s="101">
        <f t="shared" si="4"/>
        <v>-1</v>
      </c>
      <c r="O79" s="102">
        <f t="shared" si="4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3"/>
        <v>-</v>
      </c>
      <c r="K82" s="317" t="str">
        <f t="shared" si="3"/>
        <v>-</v>
      </c>
      <c r="L82" s="204">
        <f>L81+L79+L75</f>
        <v>0</v>
      </c>
      <c r="M82" s="205">
        <f>M81+M79+M75</f>
        <v>0</v>
      </c>
      <c r="N82" s="161">
        <f t="shared" si="4"/>
        <v>-1</v>
      </c>
      <c r="O82" s="162">
        <f t="shared" si="4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9</v>
      </c>
      <c r="G83" s="342">
        <f>G82+G71+G43+G34</f>
        <v>4810</v>
      </c>
      <c r="H83" s="343">
        <f>H82+H71+H43+H34</f>
        <v>76</v>
      </c>
      <c r="I83" s="344">
        <f>I82+I71+I43+I34</f>
        <v>44040</v>
      </c>
      <c r="J83" s="345">
        <f t="shared" si="3"/>
        <v>-0.1648351648351648</v>
      </c>
      <c r="K83" s="346">
        <f t="shared" si="3"/>
        <v>-0.011891406775858204</v>
      </c>
      <c r="L83" s="341">
        <f>L82+L71+L43+L34</f>
        <v>91</v>
      </c>
      <c r="M83" s="347">
        <f>M82+M71+M43+M34</f>
        <v>44570</v>
      </c>
      <c r="N83" s="348">
        <f t="shared" si="4"/>
        <v>-0.7894736842105263</v>
      </c>
      <c r="O83" s="349">
        <f t="shared" si="4"/>
        <v>-0.7343306991614889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70" zoomScaleNormal="70">
      <selection activeCell="V6" sqref="V6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76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77</v>
      </c>
      <c r="G5" s="215"/>
      <c r="H5" s="216" t="s">
        <v>78</v>
      </c>
      <c r="I5" s="217"/>
      <c r="J5" s="62" t="s">
        <v>69</v>
      </c>
      <c r="K5" s="63"/>
      <c r="L5" s="289" t="s">
        <v>79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-0.2222222222222222</v>
      </c>
      <c r="K11" s="310">
        <f t="shared" si="0"/>
        <v>-0.19287211740041932</v>
      </c>
      <c r="L11" s="112">
        <v>9</v>
      </c>
      <c r="M11" s="109">
        <v>4770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4</v>
      </c>
      <c r="I12" s="230">
        <f>H12*E12</f>
        <v>2700</v>
      </c>
      <c r="J12" s="302">
        <f t="shared" si="0"/>
        <v>-0.5555555555555556</v>
      </c>
      <c r="K12" s="303">
        <f t="shared" si="0"/>
        <v>-0.53125</v>
      </c>
      <c r="L12" s="94">
        <v>9</v>
      </c>
      <c r="M12" s="91">
        <v>5760</v>
      </c>
      <c r="N12" s="92">
        <f t="shared" si="1"/>
        <v>-0.8571428571428572</v>
      </c>
      <c r="O12" s="93">
        <f t="shared" si="1"/>
        <v>-0.84375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0</v>
      </c>
      <c r="G14" s="233">
        <f>SUM(G11:G13)</f>
        <v>0</v>
      </c>
      <c r="H14" s="234">
        <f>SUM(H11:H13)</f>
        <v>14</v>
      </c>
      <c r="I14" s="235">
        <f>SUM(I11:I13)</f>
        <v>8980</v>
      </c>
      <c r="J14" s="306">
        <f t="shared" si="0"/>
        <v>-0.2222222222222222</v>
      </c>
      <c r="K14" s="307">
        <f t="shared" si="0"/>
        <v>-0.14719848053181384</v>
      </c>
      <c r="L14" s="99">
        <f>SUM(L11:L13)</f>
        <v>18</v>
      </c>
      <c r="M14" s="100">
        <f>SUM(M11:M13)</f>
        <v>10530</v>
      </c>
      <c r="N14" s="101">
        <f t="shared" si="1"/>
        <v>-0.7083333333333333</v>
      </c>
      <c r="O14" s="102">
        <f t="shared" si="1"/>
        <v>-0.6779053084648494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0</v>
      </c>
      <c r="G15" s="271">
        <f>SUM(G10,G14)</f>
        <v>0</v>
      </c>
      <c r="H15" s="272">
        <f>H14+H10</f>
        <v>14</v>
      </c>
      <c r="I15" s="273">
        <f>I14+I10</f>
        <v>8980</v>
      </c>
      <c r="J15" s="314">
        <f t="shared" si="0"/>
        <v>-0.26315789473684215</v>
      </c>
      <c r="K15" s="315">
        <f t="shared" si="0"/>
        <v>-0.1607476635514019</v>
      </c>
      <c r="L15" s="172">
        <f>L14+L10</f>
        <v>19</v>
      </c>
      <c r="M15" s="173">
        <f>M14+M10</f>
        <v>10700</v>
      </c>
      <c r="N15" s="174">
        <f t="shared" si="1"/>
        <v>-0.7543859649122807</v>
      </c>
      <c r="O15" s="175">
        <f t="shared" si="1"/>
        <v>-0.7027474346242966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3</v>
      </c>
      <c r="M20" s="109">
        <v>1320</v>
      </c>
      <c r="N20" s="110">
        <f t="shared" si="1"/>
        <v>-1</v>
      </c>
      <c r="O20" s="111">
        <f t="shared" si="1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</v>
      </c>
      <c r="K21" s="303">
        <f t="shared" si="0"/>
        <v>-0.6</v>
      </c>
      <c r="L21" s="94">
        <v>5</v>
      </c>
      <c r="M21" s="91">
        <v>2600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-0.75</v>
      </c>
      <c r="K23" s="307">
        <f t="shared" si="0"/>
        <v>-0.7346938775510203</v>
      </c>
      <c r="L23" s="99">
        <f>SUM(L20:L22)</f>
        <v>8</v>
      </c>
      <c r="M23" s="100">
        <f>SUM(M20:M22)</f>
        <v>3920</v>
      </c>
      <c r="N23" s="101">
        <f t="shared" si="1"/>
        <v>-0.9333333333333333</v>
      </c>
      <c r="O23" s="102">
        <f t="shared" si="1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-0.75</v>
      </c>
      <c r="K24" s="315">
        <f t="shared" si="0"/>
        <v>-0.7346938775510203</v>
      </c>
      <c r="L24" s="172">
        <f>L23+L19</f>
        <v>8</v>
      </c>
      <c r="M24" s="173">
        <f>M23+M19</f>
        <v>3920</v>
      </c>
      <c r="N24" s="174">
        <f t="shared" si="1"/>
        <v>-0.9473684210526316</v>
      </c>
      <c r="O24" s="175">
        <f t="shared" si="1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2</v>
      </c>
      <c r="G26" s="228">
        <f>F26*E26</f>
        <v>240</v>
      </c>
      <c r="H26" s="229">
        <v>3</v>
      </c>
      <c r="I26" s="230">
        <f>H26*E26</f>
        <v>360</v>
      </c>
      <c r="J26" s="302">
        <f t="shared" si="0"/>
        <v>-0.25</v>
      </c>
      <c r="K26" s="303">
        <f t="shared" si="0"/>
        <v>-0.25</v>
      </c>
      <c r="L26" s="94">
        <v>4</v>
      </c>
      <c r="M26" s="91">
        <v>480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1</v>
      </c>
      <c r="G27" s="228">
        <f>F27*E27</f>
        <v>300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3</v>
      </c>
      <c r="G28" s="233">
        <f>SUM(G25:G27)</f>
        <v>540</v>
      </c>
      <c r="H28" s="234">
        <f>SUM(H25:H27)</f>
        <v>9</v>
      </c>
      <c r="I28" s="235">
        <f>SUM(I25:I27)</f>
        <v>2050</v>
      </c>
      <c r="J28" s="306">
        <f t="shared" si="0"/>
        <v>-0.3076923076923077</v>
      </c>
      <c r="K28" s="307">
        <f t="shared" si="0"/>
        <v>-0.0639269406392694</v>
      </c>
      <c r="L28" s="99">
        <f>SUM(L25:L27)</f>
        <v>13</v>
      </c>
      <c r="M28" s="100">
        <f>SUM(M25:M27)</f>
        <v>2190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4</v>
      </c>
      <c r="G29" s="236">
        <f>F29*E29</f>
        <v>1760</v>
      </c>
      <c r="H29" s="237">
        <v>29</v>
      </c>
      <c r="I29" s="238">
        <f>H29*E29</f>
        <v>12760</v>
      </c>
      <c r="J29" s="309">
        <f t="shared" si="0"/>
        <v>0</v>
      </c>
      <c r="K29" s="310">
        <f t="shared" si="0"/>
        <v>0</v>
      </c>
      <c r="L29" s="112">
        <v>29</v>
      </c>
      <c r="M29" s="109">
        <v>12760</v>
      </c>
      <c r="N29" s="110">
        <f t="shared" si="1"/>
        <v>-0.4629629629629629</v>
      </c>
      <c r="O29" s="111">
        <f t="shared" si="1"/>
        <v>-0.4629629629629629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13</v>
      </c>
      <c r="I30" s="230">
        <f>H30*E30</f>
        <v>6760</v>
      </c>
      <c r="J30" s="302">
        <f t="shared" si="0"/>
        <v>-0.5517241379310345</v>
      </c>
      <c r="K30" s="303">
        <f t="shared" si="0"/>
        <v>-0.5517241379310345</v>
      </c>
      <c r="L30" s="94">
        <v>29</v>
      </c>
      <c r="M30" s="91">
        <v>15080</v>
      </c>
      <c r="N30" s="92">
        <f t="shared" si="1"/>
        <v>-0.6829268292682926</v>
      </c>
      <c r="O30" s="93">
        <f t="shared" si="1"/>
        <v>-0.6904761904761905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5</v>
      </c>
      <c r="I31" s="230">
        <f>H31*E31</f>
        <v>3000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6</v>
      </c>
      <c r="G32" s="233">
        <f>SUM(G29:G31)</f>
        <v>2880</v>
      </c>
      <c r="H32" s="234">
        <f>SUM(H29:H31)</f>
        <v>47</v>
      </c>
      <c r="I32" s="235">
        <f>SUM(I29:I31)</f>
        <v>22520</v>
      </c>
      <c r="J32" s="306">
        <f t="shared" si="0"/>
        <v>-0.18965517241379315</v>
      </c>
      <c r="K32" s="307">
        <f t="shared" si="0"/>
        <v>-0.1910919540229885</v>
      </c>
      <c r="L32" s="99">
        <f>SUM(L29:L31)</f>
        <v>58</v>
      </c>
      <c r="M32" s="100">
        <f>SUM(M29:M31)</f>
        <v>27840</v>
      </c>
      <c r="N32" s="101">
        <f t="shared" si="1"/>
        <v>-0.5052631578947369</v>
      </c>
      <c r="O32" s="102">
        <f t="shared" si="1"/>
        <v>-0.506140350877193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9</v>
      </c>
      <c r="G33" s="271">
        <f>SUM(G28,G32)</f>
        <v>3420</v>
      </c>
      <c r="H33" s="272">
        <f>H32+H28</f>
        <v>56</v>
      </c>
      <c r="I33" s="273">
        <f>I32+I28</f>
        <v>24570</v>
      </c>
      <c r="J33" s="314">
        <f t="shared" si="0"/>
        <v>-0.21126760563380287</v>
      </c>
      <c r="K33" s="315">
        <f t="shared" si="0"/>
        <v>-0.18181818181818177</v>
      </c>
      <c r="L33" s="172">
        <f>L32+L28</f>
        <v>71</v>
      </c>
      <c r="M33" s="173">
        <f>M32+M28</f>
        <v>30030</v>
      </c>
      <c r="N33" s="174">
        <f t="shared" si="1"/>
        <v>-0.5371900826446281</v>
      </c>
      <c r="O33" s="175">
        <f t="shared" si="1"/>
        <v>-0.5151933701657458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9</v>
      </c>
      <c r="G34" s="249">
        <f>G15+G24+G33</f>
        <v>3420</v>
      </c>
      <c r="H34" s="250">
        <f>H15+H24+H33</f>
        <v>72</v>
      </c>
      <c r="I34" s="251">
        <f>I15+I24+I33</f>
        <v>34590</v>
      </c>
      <c r="J34" s="316">
        <f t="shared" si="0"/>
        <v>-0.26530612244897955</v>
      </c>
      <c r="K34" s="317">
        <f t="shared" si="0"/>
        <v>-0.22530795072788357</v>
      </c>
      <c r="L34" s="160">
        <f>L15+L24+L33</f>
        <v>98</v>
      </c>
      <c r="M34" s="159">
        <f>M15+M24+M33</f>
        <v>44650</v>
      </c>
      <c r="N34" s="161">
        <f t="shared" si="1"/>
        <v>-0.6666666666666667</v>
      </c>
      <c r="O34" s="162">
        <f t="shared" si="1"/>
        <v>-0.6405486854411306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2</v>
      </c>
      <c r="G35" s="253">
        <f>F35*E35</f>
        <v>1980</v>
      </c>
      <c r="H35" s="254">
        <v>15</v>
      </c>
      <c r="I35" s="255">
        <f>H35*E35</f>
        <v>14850</v>
      </c>
      <c r="J35" s="299">
        <f t="shared" si="0"/>
        <v>2.75</v>
      </c>
      <c r="K35" s="300">
        <f t="shared" si="0"/>
        <v>2.09375</v>
      </c>
      <c r="L35" s="141">
        <v>4</v>
      </c>
      <c r="M35" s="140">
        <v>4800</v>
      </c>
      <c r="N35" s="81">
        <f t="shared" si="1"/>
        <v>0.5</v>
      </c>
      <c r="O35" s="82">
        <f t="shared" si="1"/>
        <v>0.03125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2</v>
      </c>
      <c r="G36" s="258">
        <f>G35</f>
        <v>1980</v>
      </c>
      <c r="H36" s="259">
        <f>H35</f>
        <v>15</v>
      </c>
      <c r="I36" s="260">
        <f>I35</f>
        <v>14850</v>
      </c>
      <c r="J36" s="306">
        <f t="shared" si="0"/>
        <v>2.75</v>
      </c>
      <c r="K36" s="307">
        <f t="shared" si="0"/>
        <v>2.09375</v>
      </c>
      <c r="L36" s="145">
        <f>L35</f>
        <v>4</v>
      </c>
      <c r="M36" s="144">
        <f>M35</f>
        <v>4800</v>
      </c>
      <c r="N36" s="101">
        <f t="shared" si="1"/>
        <v>0.5</v>
      </c>
      <c r="O36" s="102">
        <f t="shared" si="1"/>
        <v>0.03125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2</v>
      </c>
      <c r="G43" s="249">
        <f>G42+G36</f>
        <v>1980</v>
      </c>
      <c r="H43" s="250">
        <f>H42+H36</f>
        <v>15</v>
      </c>
      <c r="I43" s="251">
        <f>I42+I36</f>
        <v>14850</v>
      </c>
      <c r="J43" s="316">
        <f t="shared" si="0"/>
        <v>2.75</v>
      </c>
      <c r="K43" s="317">
        <f t="shared" si="0"/>
        <v>2.09375</v>
      </c>
      <c r="L43" s="160">
        <f>L42+L36</f>
        <v>4</v>
      </c>
      <c r="M43" s="159">
        <f>M42+M36</f>
        <v>4800</v>
      </c>
      <c r="N43" s="161">
        <f t="shared" si="2"/>
        <v>-0.2857142857142857</v>
      </c>
      <c r="O43" s="162">
        <f t="shared" si="2"/>
        <v>-0.032573289902280145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3"/>
        <v>-</v>
      </c>
      <c r="K72" s="300" t="str">
        <f t="shared" si="3"/>
        <v>-</v>
      </c>
      <c r="L72" s="141"/>
      <c r="M72" s="140"/>
      <c r="N72" s="81">
        <f t="shared" si="4"/>
        <v>-1</v>
      </c>
      <c r="O72" s="82">
        <f t="shared" si="4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-1</v>
      </c>
      <c r="O74" s="93">
        <f t="shared" si="4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-1</v>
      </c>
      <c r="O75" s="102">
        <f t="shared" si="4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-1</v>
      </c>
      <c r="O76" s="111">
        <f t="shared" si="4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-1</v>
      </c>
      <c r="O77" s="93">
        <f t="shared" si="4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3"/>
        <v>-</v>
      </c>
      <c r="K79" s="307" t="str">
        <f t="shared" si="3"/>
        <v>-</v>
      </c>
      <c r="L79" s="145">
        <f>SUM(L76:L78)</f>
        <v>0</v>
      </c>
      <c r="M79" s="144">
        <f>SUM(M76:M78)</f>
        <v>0</v>
      </c>
      <c r="N79" s="101">
        <f t="shared" si="4"/>
        <v>-1</v>
      </c>
      <c r="O79" s="102">
        <f t="shared" si="4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3"/>
        <v>-</v>
      </c>
      <c r="K82" s="317" t="str">
        <f t="shared" si="3"/>
        <v>-</v>
      </c>
      <c r="L82" s="204">
        <f>L81+L79+L75</f>
        <v>0</v>
      </c>
      <c r="M82" s="205">
        <f>M81+M79+M75</f>
        <v>0</v>
      </c>
      <c r="N82" s="161">
        <f t="shared" si="4"/>
        <v>-1</v>
      </c>
      <c r="O82" s="162">
        <f t="shared" si="4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11</v>
      </c>
      <c r="G83" s="342">
        <f>G82+G71+G43+G34</f>
        <v>5400</v>
      </c>
      <c r="H83" s="343">
        <f>H82+H71+H43+H34</f>
        <v>87</v>
      </c>
      <c r="I83" s="344">
        <f>I82+I71+I43+I34</f>
        <v>49440</v>
      </c>
      <c r="J83" s="345">
        <f t="shared" si="3"/>
        <v>-0.1470588235294118</v>
      </c>
      <c r="K83" s="346">
        <f t="shared" si="3"/>
        <v>-0.00020222446916073888</v>
      </c>
      <c r="L83" s="341">
        <f>L82+L71+L43+L34</f>
        <v>102</v>
      </c>
      <c r="M83" s="347">
        <f>M82+M71+M43+M34</f>
        <v>49450</v>
      </c>
      <c r="N83" s="348">
        <f t="shared" si="4"/>
        <v>-0.7590027700831025</v>
      </c>
      <c r="O83" s="349">
        <f t="shared" si="4"/>
        <v>-0.7017554442902817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U29" sqref="U29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80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81</v>
      </c>
      <c r="G5" s="215"/>
      <c r="H5" s="216" t="s">
        <v>82</v>
      </c>
      <c r="I5" s="217"/>
      <c r="J5" s="62" t="s">
        <v>69</v>
      </c>
      <c r="K5" s="63"/>
      <c r="L5" s="289" t="s">
        <v>79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-0.2222222222222222</v>
      </c>
      <c r="K11" s="310">
        <f t="shared" si="0"/>
        <v>-0.19287211740041932</v>
      </c>
      <c r="L11" s="112">
        <v>9</v>
      </c>
      <c r="M11" s="109">
        <v>4770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1</v>
      </c>
      <c r="G12" s="228">
        <f>F12*E12</f>
        <v>675</v>
      </c>
      <c r="H12" s="229">
        <v>5</v>
      </c>
      <c r="I12" s="230">
        <f>H12*E12</f>
        <v>3375</v>
      </c>
      <c r="J12" s="302">
        <f t="shared" si="0"/>
        <v>-0.4444444444444444</v>
      </c>
      <c r="K12" s="303">
        <f t="shared" si="0"/>
        <v>-0.4140625</v>
      </c>
      <c r="L12" s="94">
        <v>9</v>
      </c>
      <c r="M12" s="91">
        <v>5760</v>
      </c>
      <c r="N12" s="92">
        <f t="shared" si="1"/>
        <v>-0.8214285714285714</v>
      </c>
      <c r="O12" s="93">
        <f t="shared" si="1"/>
        <v>-0.8046875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1</v>
      </c>
      <c r="G14" s="233">
        <f>SUM(G11:G13)</f>
        <v>675</v>
      </c>
      <c r="H14" s="234">
        <f>SUM(H11:H13)</f>
        <v>15</v>
      </c>
      <c r="I14" s="235">
        <f>SUM(I11:I13)</f>
        <v>9655</v>
      </c>
      <c r="J14" s="306">
        <f t="shared" si="0"/>
        <v>-0.16666666666666663</v>
      </c>
      <c r="K14" s="307">
        <f t="shared" si="0"/>
        <v>-0.08309591642924974</v>
      </c>
      <c r="L14" s="99">
        <f>SUM(L11:L13)</f>
        <v>18</v>
      </c>
      <c r="M14" s="100">
        <f>SUM(M11:M13)</f>
        <v>10530</v>
      </c>
      <c r="N14" s="101">
        <f t="shared" si="1"/>
        <v>-0.6875</v>
      </c>
      <c r="O14" s="102">
        <f t="shared" si="1"/>
        <v>-0.6536944045911047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1</v>
      </c>
      <c r="G15" s="271">
        <f>SUM(G10,G14)</f>
        <v>675</v>
      </c>
      <c r="H15" s="272">
        <f>H14+H10</f>
        <v>15</v>
      </c>
      <c r="I15" s="273">
        <f>I14+I10</f>
        <v>9655</v>
      </c>
      <c r="J15" s="314">
        <f t="shared" si="0"/>
        <v>-0.21052631578947367</v>
      </c>
      <c r="K15" s="315">
        <f t="shared" si="0"/>
        <v>-0.09766355140186911</v>
      </c>
      <c r="L15" s="172">
        <f>L14+L10</f>
        <v>19</v>
      </c>
      <c r="M15" s="173">
        <f>M14+M10</f>
        <v>10700</v>
      </c>
      <c r="N15" s="174">
        <f t="shared" si="1"/>
        <v>-0.736842105263158</v>
      </c>
      <c r="O15" s="175">
        <f t="shared" si="1"/>
        <v>-0.6804038397881496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1</v>
      </c>
      <c r="G20" s="236">
        <f>F20*E20</f>
        <v>440</v>
      </c>
      <c r="H20" s="237">
        <v>1</v>
      </c>
      <c r="I20" s="238">
        <f>H20*E20</f>
        <v>440</v>
      </c>
      <c r="J20" s="309">
        <f t="shared" si="0"/>
        <v>-0.6666666666666667</v>
      </c>
      <c r="K20" s="310">
        <f t="shared" si="0"/>
        <v>-0.6666666666666667</v>
      </c>
      <c r="L20" s="112">
        <v>3</v>
      </c>
      <c r="M20" s="109">
        <v>1320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</v>
      </c>
      <c r="K21" s="303">
        <f t="shared" si="0"/>
        <v>-0.6</v>
      </c>
      <c r="L21" s="94">
        <v>5</v>
      </c>
      <c r="M21" s="91">
        <v>2600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1</v>
      </c>
      <c r="G23" s="233">
        <f>SUM(G20:G22)</f>
        <v>440</v>
      </c>
      <c r="H23" s="234">
        <f>SUM(H20:H22)</f>
        <v>3</v>
      </c>
      <c r="I23" s="235">
        <f>SUM(I20:I22)</f>
        <v>1480</v>
      </c>
      <c r="J23" s="306">
        <f t="shared" si="0"/>
        <v>-0.625</v>
      </c>
      <c r="K23" s="307">
        <f t="shared" si="0"/>
        <v>-0.6224489795918368</v>
      </c>
      <c r="L23" s="99">
        <f>SUM(L20:L22)</f>
        <v>8</v>
      </c>
      <c r="M23" s="100">
        <f>SUM(M20:M22)</f>
        <v>3920</v>
      </c>
      <c r="N23" s="101">
        <f t="shared" si="1"/>
        <v>-0.9</v>
      </c>
      <c r="O23" s="102">
        <f t="shared" si="1"/>
        <v>-0.8960674157303371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1</v>
      </c>
      <c r="G24" s="271">
        <f>SUM(G19,G23)</f>
        <v>440</v>
      </c>
      <c r="H24" s="272">
        <f>H23+H19</f>
        <v>3</v>
      </c>
      <c r="I24" s="273">
        <f>I23+I19</f>
        <v>1480</v>
      </c>
      <c r="J24" s="314">
        <f t="shared" si="0"/>
        <v>-0.625</v>
      </c>
      <c r="K24" s="315">
        <f t="shared" si="0"/>
        <v>-0.6224489795918368</v>
      </c>
      <c r="L24" s="172">
        <f>L23+L19</f>
        <v>8</v>
      </c>
      <c r="M24" s="173">
        <f>M23+M19</f>
        <v>3920</v>
      </c>
      <c r="N24" s="174">
        <f t="shared" si="1"/>
        <v>-0.9210526315789473</v>
      </c>
      <c r="O24" s="175">
        <f t="shared" si="1"/>
        <v>-0.9035202086049544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-0.25</v>
      </c>
      <c r="K26" s="303">
        <f t="shared" si="0"/>
        <v>-0.25</v>
      </c>
      <c r="L26" s="94">
        <v>4</v>
      </c>
      <c r="M26" s="91">
        <v>480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9</v>
      </c>
      <c r="I28" s="235">
        <f>SUM(I25:I27)</f>
        <v>2050</v>
      </c>
      <c r="J28" s="306">
        <f t="shared" si="0"/>
        <v>-0.3076923076923077</v>
      </c>
      <c r="K28" s="307">
        <f t="shared" si="0"/>
        <v>-0.0639269406392694</v>
      </c>
      <c r="L28" s="99">
        <f>SUM(L25:L27)</f>
        <v>13</v>
      </c>
      <c r="M28" s="100">
        <f>SUM(M25:M27)</f>
        <v>2190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/>
      <c r="G29" s="236">
        <f>F29*E29</f>
        <v>0</v>
      </c>
      <c r="H29" s="237">
        <v>29</v>
      </c>
      <c r="I29" s="238">
        <f>H29*E29</f>
        <v>12760</v>
      </c>
      <c r="J29" s="309">
        <f t="shared" si="0"/>
        <v>0</v>
      </c>
      <c r="K29" s="310">
        <f t="shared" si="0"/>
        <v>0</v>
      </c>
      <c r="L29" s="112">
        <v>29</v>
      </c>
      <c r="M29" s="109">
        <v>12760</v>
      </c>
      <c r="N29" s="110">
        <f t="shared" si="1"/>
        <v>-0.4629629629629629</v>
      </c>
      <c r="O29" s="111">
        <f t="shared" si="1"/>
        <v>-0.4629629629629629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14</v>
      </c>
      <c r="I30" s="230">
        <f>H30*E30</f>
        <v>7280</v>
      </c>
      <c r="J30" s="302">
        <f t="shared" si="0"/>
        <v>-0.5172413793103448</v>
      </c>
      <c r="K30" s="303">
        <f t="shared" si="0"/>
        <v>-0.5172413793103448</v>
      </c>
      <c r="L30" s="94">
        <v>29</v>
      </c>
      <c r="M30" s="91">
        <v>15080</v>
      </c>
      <c r="N30" s="92">
        <f t="shared" si="1"/>
        <v>-0.6585365853658536</v>
      </c>
      <c r="O30" s="93">
        <f t="shared" si="1"/>
        <v>-0.6666666666666667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2</v>
      </c>
      <c r="G32" s="233">
        <f>SUM(G29:G31)</f>
        <v>1120</v>
      </c>
      <c r="H32" s="234">
        <f>SUM(H29:H31)</f>
        <v>49</v>
      </c>
      <c r="I32" s="235">
        <f>SUM(I29:I31)</f>
        <v>23640</v>
      </c>
      <c r="J32" s="306">
        <f t="shared" si="0"/>
        <v>-0.15517241379310343</v>
      </c>
      <c r="K32" s="307">
        <f t="shared" si="0"/>
        <v>-0.15086206896551724</v>
      </c>
      <c r="L32" s="99">
        <f>SUM(L29:L31)</f>
        <v>58</v>
      </c>
      <c r="M32" s="100">
        <f>SUM(M29:M31)</f>
        <v>27840</v>
      </c>
      <c r="N32" s="101">
        <f t="shared" si="1"/>
        <v>-0.4842105263157894</v>
      </c>
      <c r="O32" s="102">
        <f t="shared" si="1"/>
        <v>-0.4815789473684211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2</v>
      </c>
      <c r="G33" s="271">
        <f>SUM(G28,G32)</f>
        <v>1120</v>
      </c>
      <c r="H33" s="272">
        <f>H32+H28</f>
        <v>58</v>
      </c>
      <c r="I33" s="273">
        <f>I32+I28</f>
        <v>25690</v>
      </c>
      <c r="J33" s="314">
        <f t="shared" si="0"/>
        <v>-0.18309859154929575</v>
      </c>
      <c r="K33" s="315">
        <f t="shared" si="0"/>
        <v>-0.1445221445221445</v>
      </c>
      <c r="L33" s="172">
        <f>L32+L28</f>
        <v>71</v>
      </c>
      <c r="M33" s="173">
        <f>M32+M28</f>
        <v>30030</v>
      </c>
      <c r="N33" s="174">
        <f t="shared" si="1"/>
        <v>-0.5206611570247934</v>
      </c>
      <c r="O33" s="175">
        <f t="shared" si="1"/>
        <v>-0.49309392265193375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4</v>
      </c>
      <c r="G34" s="249">
        <f>G15+G24+G33</f>
        <v>2235</v>
      </c>
      <c r="H34" s="250">
        <f>H15+H24+H33</f>
        <v>76</v>
      </c>
      <c r="I34" s="251">
        <f>I15+I24+I33</f>
        <v>36825</v>
      </c>
      <c r="J34" s="316">
        <f t="shared" si="0"/>
        <v>-0.22448979591836737</v>
      </c>
      <c r="K34" s="317">
        <f t="shared" si="0"/>
        <v>-0.17525195968645013</v>
      </c>
      <c r="L34" s="160">
        <f>L15+L24+L33</f>
        <v>98</v>
      </c>
      <c r="M34" s="159">
        <f>M15+M24+M33</f>
        <v>44650</v>
      </c>
      <c r="N34" s="161">
        <f t="shared" si="1"/>
        <v>-0.6481481481481481</v>
      </c>
      <c r="O34" s="162">
        <f t="shared" si="1"/>
        <v>-0.6173230801205445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1</v>
      </c>
      <c r="G35" s="253">
        <f>F35*E35</f>
        <v>990</v>
      </c>
      <c r="H35" s="254">
        <v>16</v>
      </c>
      <c r="I35" s="255">
        <f>H35*E35</f>
        <v>15840</v>
      </c>
      <c r="J35" s="299">
        <f t="shared" si="0"/>
        <v>3</v>
      </c>
      <c r="K35" s="300">
        <f t="shared" si="0"/>
        <v>2.3</v>
      </c>
      <c r="L35" s="141">
        <v>4</v>
      </c>
      <c r="M35" s="140">
        <v>4800</v>
      </c>
      <c r="N35" s="81">
        <f t="shared" si="1"/>
        <v>0.6000000000000001</v>
      </c>
      <c r="O35" s="82">
        <f t="shared" si="1"/>
        <v>0.10000000000000009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1</v>
      </c>
      <c r="G36" s="258">
        <f>G35</f>
        <v>990</v>
      </c>
      <c r="H36" s="259">
        <f>H35</f>
        <v>16</v>
      </c>
      <c r="I36" s="260">
        <f>I35</f>
        <v>15840</v>
      </c>
      <c r="J36" s="306">
        <f t="shared" si="0"/>
        <v>3</v>
      </c>
      <c r="K36" s="307">
        <f t="shared" si="0"/>
        <v>2.3</v>
      </c>
      <c r="L36" s="145">
        <f>L35</f>
        <v>4</v>
      </c>
      <c r="M36" s="144">
        <f>M35</f>
        <v>4800</v>
      </c>
      <c r="N36" s="101">
        <f t="shared" si="1"/>
        <v>0.6000000000000001</v>
      </c>
      <c r="O36" s="102">
        <f t="shared" si="1"/>
        <v>0.10000000000000009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1</v>
      </c>
      <c r="G43" s="249">
        <f>G42+G36</f>
        <v>990</v>
      </c>
      <c r="H43" s="250">
        <f>H42+H36</f>
        <v>16</v>
      </c>
      <c r="I43" s="251">
        <f>I42+I36</f>
        <v>15840</v>
      </c>
      <c r="J43" s="316">
        <f t="shared" si="0"/>
        <v>3</v>
      </c>
      <c r="K43" s="317">
        <f t="shared" si="0"/>
        <v>2.3</v>
      </c>
      <c r="L43" s="160">
        <f>L42+L36</f>
        <v>4</v>
      </c>
      <c r="M43" s="159">
        <f>M42+M36</f>
        <v>4800</v>
      </c>
      <c r="N43" s="161">
        <f t="shared" si="2"/>
        <v>-0.23809523809523814</v>
      </c>
      <c r="O43" s="162">
        <f t="shared" si="2"/>
        <v>0.0319218241042345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1</v>
      </c>
      <c r="G72" s="253">
        <f>F72*E72</f>
        <v>190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1</v>
      </c>
      <c r="G74" s="265">
        <f>F74*E74</f>
        <v>300</v>
      </c>
      <c r="H74" s="266">
        <v>1</v>
      </c>
      <c r="I74" s="267">
        <f>H74*E74</f>
        <v>300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0</v>
      </c>
      <c r="O74" s="93">
        <f t="shared" si="4"/>
        <v>-0.032258064516129004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490</v>
      </c>
      <c r="H75" s="259">
        <f>SUM(H72:H74)</f>
        <v>2</v>
      </c>
      <c r="I75" s="260">
        <f>SUM(I72:I74)</f>
        <v>490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-0.875</v>
      </c>
      <c r="O75" s="102">
        <f t="shared" si="4"/>
        <v>-0.831615120274914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14</v>
      </c>
      <c r="G76" s="253">
        <f>F76*E76</f>
        <v>6160</v>
      </c>
      <c r="H76" s="254">
        <v>14</v>
      </c>
      <c r="I76" s="255">
        <f>H76*E76</f>
        <v>6160</v>
      </c>
      <c r="J76" s="309" t="str">
        <f t="shared" ref="J76:J79" si="5">IFERROR(H76/L76-1,"-")</f>
        <v>-</v>
      </c>
      <c r="K76" s="310" t="str">
        <f t="shared" ref="K76:K79" si="6">IFERROR(I76/M76-1,"-")</f>
        <v>-</v>
      </c>
      <c r="L76" s="150"/>
      <c r="M76" s="149"/>
      <c r="N76" s="110">
        <f t="shared" si="4"/>
        <v>-0.7021276595744681</v>
      </c>
      <c r="O76" s="111">
        <f t="shared" si="4"/>
        <v>-0.7091595845136922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15</v>
      </c>
      <c r="G77" s="265">
        <f>F77*E77</f>
        <v>7800</v>
      </c>
      <c r="H77" s="266">
        <v>15</v>
      </c>
      <c r="I77" s="267">
        <f>H77*E77</f>
        <v>7800</v>
      </c>
      <c r="J77" s="302" t="str">
        <f t="shared" si="5"/>
        <v>-</v>
      </c>
      <c r="K77" s="303" t="str">
        <f t="shared" si="6"/>
        <v>-</v>
      </c>
      <c r="L77" s="153"/>
      <c r="M77" s="152"/>
      <c r="N77" s="92">
        <f t="shared" si="4"/>
        <v>-0.625</v>
      </c>
      <c r="O77" s="93">
        <f t="shared" si="4"/>
        <v>-0.6303317535545023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3</v>
      </c>
      <c r="G78" s="265">
        <f>F78*E78</f>
        <v>1800</v>
      </c>
      <c r="H78" s="266">
        <v>3</v>
      </c>
      <c r="I78" s="267">
        <f>H78*E78</f>
        <v>1800</v>
      </c>
      <c r="J78" s="302">
        <f t="shared" si="5"/>
        <v>-0.7</v>
      </c>
      <c r="K78" s="303">
        <f t="shared" si="6"/>
        <v>-0.5982142857142857</v>
      </c>
      <c r="L78" s="153">
        <v>10</v>
      </c>
      <c r="M78" s="152">
        <v>4480</v>
      </c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32</v>
      </c>
      <c r="G79" s="258">
        <f>SUM(G76:G78)</f>
        <v>15760</v>
      </c>
      <c r="H79" s="259">
        <f>SUM(H76:H78)</f>
        <v>32</v>
      </c>
      <c r="I79" s="260">
        <f>SUM(I76:I78)</f>
        <v>15760</v>
      </c>
      <c r="J79" s="306">
        <f t="shared" si="5"/>
        <v>2.2</v>
      </c>
      <c r="K79" s="307">
        <f t="shared" si="6"/>
        <v>2.517857142857143</v>
      </c>
      <c r="L79" s="145">
        <f>SUM(L76:L78)</f>
        <v>10</v>
      </c>
      <c r="M79" s="144">
        <f>SUM(M76:M78)</f>
        <v>4480</v>
      </c>
      <c r="N79" s="101">
        <f t="shared" si="4"/>
        <v>-0.632183908045977</v>
      </c>
      <c r="O79" s="102">
        <f t="shared" si="4"/>
        <v>-0.6272469252601702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34</v>
      </c>
      <c r="G82" s="276">
        <f>G81+G79+G75</f>
        <v>16250</v>
      </c>
      <c r="H82" s="277">
        <f>H81+H79+H75</f>
        <v>34</v>
      </c>
      <c r="I82" s="278">
        <f>I81+I79+I75</f>
        <v>16250</v>
      </c>
      <c r="J82" s="316">
        <f t="shared" si="3"/>
        <v>2.4</v>
      </c>
      <c r="K82" s="317">
        <f t="shared" si="3"/>
        <v>2.627232142857143</v>
      </c>
      <c r="L82" s="204">
        <f>L81+L79+L75</f>
        <v>10</v>
      </c>
      <c r="M82" s="205">
        <f>M81+M79+M75</f>
        <v>4480</v>
      </c>
      <c r="N82" s="161">
        <f t="shared" si="4"/>
        <v>-0.6699029126213591</v>
      </c>
      <c r="O82" s="162">
        <f t="shared" si="4"/>
        <v>-0.6404071697278159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39</v>
      </c>
      <c r="G83" s="342">
        <f>G82+G71+G43+G34</f>
        <v>19475</v>
      </c>
      <c r="H83" s="343">
        <f>H82+H71+H43+H34</f>
        <v>126</v>
      </c>
      <c r="I83" s="344">
        <f>I82+I71+I43+I34</f>
        <v>68915</v>
      </c>
      <c r="J83" s="345">
        <f t="shared" si="3"/>
        <v>0.125</v>
      </c>
      <c r="K83" s="346">
        <f t="shared" si="3"/>
        <v>0.27786018913406263</v>
      </c>
      <c r="L83" s="341">
        <f>L82+L71+L43+L34</f>
        <v>112</v>
      </c>
      <c r="M83" s="347">
        <f>M82+M71+M43+M34</f>
        <v>53930</v>
      </c>
      <c r="N83" s="348">
        <f t="shared" si="4"/>
        <v>-0.6509695290858726</v>
      </c>
      <c r="O83" s="349">
        <f t="shared" si="4"/>
        <v>-0.5842733908427339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83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V7" sqref="V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84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85</v>
      </c>
      <c r="G5" s="215"/>
      <c r="H5" s="216" t="s">
        <v>86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-0.30000000000000004</v>
      </c>
      <c r="K11" s="310">
        <f t="shared" si="0"/>
        <v>-0.2735849056603774</v>
      </c>
      <c r="L11" s="112">
        <v>10</v>
      </c>
      <c r="M11" s="109">
        <v>5300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2</v>
      </c>
      <c r="G12" s="228">
        <f>F12*E12</f>
        <v>1350</v>
      </c>
      <c r="H12" s="229">
        <v>7</v>
      </c>
      <c r="I12" s="230">
        <f>H12*E12</f>
        <v>4725</v>
      </c>
      <c r="J12" s="302">
        <f t="shared" si="0"/>
        <v>-0.2222222222222222</v>
      </c>
      <c r="K12" s="303">
        <f t="shared" si="0"/>
        <v>-0.1796875</v>
      </c>
      <c r="L12" s="94">
        <v>9</v>
      </c>
      <c r="M12" s="91">
        <v>5760</v>
      </c>
      <c r="N12" s="92">
        <f t="shared" si="1"/>
        <v>-0.75</v>
      </c>
      <c r="O12" s="93">
        <f t="shared" si="1"/>
        <v>-0.7265625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2</v>
      </c>
      <c r="G14" s="233">
        <f>SUM(G11:G13)</f>
        <v>1350</v>
      </c>
      <c r="H14" s="234">
        <f>SUM(H11:H13)</f>
        <v>17</v>
      </c>
      <c r="I14" s="235">
        <f>SUM(I11:I13)</f>
        <v>11005</v>
      </c>
      <c r="J14" s="306">
        <f t="shared" si="0"/>
        <v>-0.10526315789473684</v>
      </c>
      <c r="K14" s="307">
        <f t="shared" si="0"/>
        <v>-0.00497287522603973</v>
      </c>
      <c r="L14" s="99">
        <f>SUM(L11:L13)</f>
        <v>19</v>
      </c>
      <c r="M14" s="100">
        <f>SUM(M11:M13)</f>
        <v>11060</v>
      </c>
      <c r="N14" s="101">
        <f t="shared" si="1"/>
        <v>-0.6458333333333333</v>
      </c>
      <c r="O14" s="102">
        <f t="shared" si="1"/>
        <v>-0.6052725968436155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2</v>
      </c>
      <c r="G15" s="271">
        <f>SUM(G10,G14)</f>
        <v>1350</v>
      </c>
      <c r="H15" s="272">
        <f>H14+H10</f>
        <v>17</v>
      </c>
      <c r="I15" s="273">
        <f>I14+I10</f>
        <v>11005</v>
      </c>
      <c r="J15" s="314">
        <f t="shared" si="0"/>
        <v>-0.15000000000000002</v>
      </c>
      <c r="K15" s="315">
        <f t="shared" si="0"/>
        <v>-0.020035618878005312</v>
      </c>
      <c r="L15" s="172">
        <f>L14+L10</f>
        <v>20</v>
      </c>
      <c r="M15" s="173">
        <f>M14+M10</f>
        <v>11230</v>
      </c>
      <c r="N15" s="174">
        <f t="shared" si="1"/>
        <v>-0.7017543859649122</v>
      </c>
      <c r="O15" s="175">
        <f t="shared" si="1"/>
        <v>-0.6357166501158557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1</v>
      </c>
      <c r="I20" s="238">
        <f>H20*E20</f>
        <v>440</v>
      </c>
      <c r="J20" s="309">
        <f t="shared" si="0"/>
        <v>-0.8</v>
      </c>
      <c r="K20" s="310">
        <f t="shared" si="0"/>
        <v>-0.8</v>
      </c>
      <c r="L20" s="112">
        <v>5</v>
      </c>
      <c r="M20" s="109">
        <v>2200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-0.6666666666666667</v>
      </c>
      <c r="K21" s="303">
        <f t="shared" si="0"/>
        <v>-0.6666666666666667</v>
      </c>
      <c r="L21" s="94">
        <v>6</v>
      </c>
      <c r="M21" s="91">
        <v>3120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3</v>
      </c>
      <c r="I23" s="235">
        <f>SUM(I20:I22)</f>
        <v>1480</v>
      </c>
      <c r="J23" s="306">
        <f t="shared" si="0"/>
        <v>-0.7272727272727273</v>
      </c>
      <c r="K23" s="307">
        <f t="shared" si="0"/>
        <v>-0.7218045112781954</v>
      </c>
      <c r="L23" s="99">
        <f>SUM(L20:L22)</f>
        <v>11</v>
      </c>
      <c r="M23" s="100">
        <f>SUM(M20:M22)</f>
        <v>5320</v>
      </c>
      <c r="N23" s="101">
        <f t="shared" si="1"/>
        <v>-0.9</v>
      </c>
      <c r="O23" s="102">
        <f t="shared" si="1"/>
        <v>-0.8960674157303371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3</v>
      </c>
      <c r="I24" s="273">
        <f>I23+I19</f>
        <v>1480</v>
      </c>
      <c r="J24" s="314">
        <f t="shared" si="0"/>
        <v>-0.7692307692307692</v>
      </c>
      <c r="K24" s="315">
        <f t="shared" si="0"/>
        <v>-0.7371225577264653</v>
      </c>
      <c r="L24" s="172">
        <f>L23+L19</f>
        <v>13</v>
      </c>
      <c r="M24" s="173">
        <f>M23+M19</f>
        <v>5630</v>
      </c>
      <c r="N24" s="174">
        <f t="shared" si="1"/>
        <v>-0.9210526315789473</v>
      </c>
      <c r="O24" s="175">
        <f t="shared" si="1"/>
        <v>-0.9035202086049544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9</v>
      </c>
      <c r="I28" s="235">
        <f>SUM(I25:I27)</f>
        <v>2050</v>
      </c>
      <c r="J28" s="306">
        <f t="shared" si="0"/>
        <v>-0.4375</v>
      </c>
      <c r="K28" s="307">
        <f t="shared" si="0"/>
        <v>-0.196078431372549</v>
      </c>
      <c r="L28" s="99">
        <f>SUM(L25:L27)</f>
        <v>16</v>
      </c>
      <c r="M28" s="100">
        <f>SUM(M25:M27)</f>
        <v>2550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1</v>
      </c>
      <c r="G29" s="236">
        <f>F29*E29</f>
        <v>440</v>
      </c>
      <c r="H29" s="237">
        <v>30</v>
      </c>
      <c r="I29" s="238">
        <f>H29*E29</f>
        <v>13200</v>
      </c>
      <c r="J29" s="309">
        <f t="shared" si="0"/>
        <v>-0.16666666666666663</v>
      </c>
      <c r="K29" s="310">
        <f t="shared" si="0"/>
        <v>-0.16666666666666663</v>
      </c>
      <c r="L29" s="112">
        <v>36</v>
      </c>
      <c r="M29" s="109">
        <v>15840</v>
      </c>
      <c r="N29" s="110">
        <f t="shared" si="1"/>
        <v>-0.4444444444444444</v>
      </c>
      <c r="O29" s="111">
        <f t="shared" si="1"/>
        <v>-0.4444444444444444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5</v>
      </c>
      <c r="G30" s="228">
        <f>F30*E30</f>
        <v>2600</v>
      </c>
      <c r="H30" s="229">
        <v>19</v>
      </c>
      <c r="I30" s="230">
        <f>H30*E30</f>
        <v>9880</v>
      </c>
      <c r="J30" s="302">
        <f t="shared" si="0"/>
        <v>-0.40625</v>
      </c>
      <c r="K30" s="303">
        <f t="shared" si="0"/>
        <v>-0.40625</v>
      </c>
      <c r="L30" s="94">
        <v>32</v>
      </c>
      <c r="M30" s="91">
        <v>16640</v>
      </c>
      <c r="N30" s="92">
        <f t="shared" si="1"/>
        <v>-0.5365853658536586</v>
      </c>
      <c r="O30" s="93">
        <f t="shared" si="1"/>
        <v>-0.5476190476190477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f>F31*E31</f>
        <v>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6</v>
      </c>
      <c r="G32" s="233">
        <f>SUM(G29:G31)</f>
        <v>3040</v>
      </c>
      <c r="H32" s="234">
        <f>SUM(H29:H31)</f>
        <v>55</v>
      </c>
      <c r="I32" s="235">
        <f>SUM(I29:I31)</f>
        <v>26680</v>
      </c>
      <c r="J32" s="306">
        <f t="shared" si="0"/>
        <v>-0.19117647058823528</v>
      </c>
      <c r="K32" s="307">
        <f t="shared" si="0"/>
        <v>-0.1785714285714286</v>
      </c>
      <c r="L32" s="99">
        <f>SUM(L29:L31)</f>
        <v>68</v>
      </c>
      <c r="M32" s="100">
        <f>SUM(M29:M31)</f>
        <v>32480</v>
      </c>
      <c r="N32" s="101">
        <f t="shared" si="1"/>
        <v>-0.42105263157894735</v>
      </c>
      <c r="O32" s="102">
        <f t="shared" si="1"/>
        <v>-0.41491228070175434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6</v>
      </c>
      <c r="G33" s="271">
        <f>SUM(G28,G32)</f>
        <v>3040</v>
      </c>
      <c r="H33" s="272">
        <f>H32+H28</f>
        <v>64</v>
      </c>
      <c r="I33" s="273">
        <f>I32+I28</f>
        <v>28730</v>
      </c>
      <c r="J33" s="314">
        <f t="shared" si="0"/>
        <v>-0.23809523809523814</v>
      </c>
      <c r="K33" s="315">
        <f t="shared" si="0"/>
        <v>-0.17984584641735657</v>
      </c>
      <c r="L33" s="172">
        <f>L32+L28</f>
        <v>84</v>
      </c>
      <c r="M33" s="173">
        <f>M32+M28</f>
        <v>35030</v>
      </c>
      <c r="N33" s="174">
        <f t="shared" si="1"/>
        <v>-0.47107438016528924</v>
      </c>
      <c r="O33" s="175">
        <f t="shared" si="1"/>
        <v>-0.43310970797158643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8</v>
      </c>
      <c r="G34" s="249">
        <f>G15+G24+G33</f>
        <v>4390</v>
      </c>
      <c r="H34" s="250">
        <f>H15+H24+H33</f>
        <v>84</v>
      </c>
      <c r="I34" s="251">
        <f>I15+I24+I33</f>
        <v>41215</v>
      </c>
      <c r="J34" s="316">
        <f t="shared" si="0"/>
        <v>-0.28205128205128205</v>
      </c>
      <c r="K34" s="317">
        <f t="shared" si="0"/>
        <v>-0.20572364617460015</v>
      </c>
      <c r="L34" s="160">
        <f>L15+L24+L33</f>
        <v>117</v>
      </c>
      <c r="M34" s="159">
        <f>M15+M24+M33</f>
        <v>51890</v>
      </c>
      <c r="N34" s="161">
        <f t="shared" si="1"/>
        <v>-0.6111111111111112</v>
      </c>
      <c r="O34" s="162">
        <f t="shared" si="1"/>
        <v>-0.571703211056843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f>F35*E35</f>
        <v>0</v>
      </c>
      <c r="H35" s="254">
        <v>16</v>
      </c>
      <c r="I35" s="255">
        <f>H35*E35</f>
        <v>15840</v>
      </c>
      <c r="J35" s="299">
        <f t="shared" si="0"/>
        <v>3</v>
      </c>
      <c r="K35" s="300">
        <f t="shared" si="0"/>
        <v>2.3</v>
      </c>
      <c r="L35" s="141">
        <v>4</v>
      </c>
      <c r="M35" s="140">
        <v>4800</v>
      </c>
      <c r="N35" s="81">
        <f t="shared" si="1"/>
        <v>0.6000000000000001</v>
      </c>
      <c r="O35" s="82">
        <f t="shared" si="1"/>
        <v>0.10000000000000009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16</v>
      </c>
      <c r="I36" s="260">
        <f>I35</f>
        <v>15840</v>
      </c>
      <c r="J36" s="306">
        <f t="shared" si="0"/>
        <v>3</v>
      </c>
      <c r="K36" s="307">
        <f t="shared" si="0"/>
        <v>2.3</v>
      </c>
      <c r="L36" s="145">
        <f>L35</f>
        <v>4</v>
      </c>
      <c r="M36" s="144">
        <f>M35</f>
        <v>4800</v>
      </c>
      <c r="N36" s="101">
        <f t="shared" si="1"/>
        <v>0.6000000000000001</v>
      </c>
      <c r="O36" s="102">
        <f t="shared" si="1"/>
        <v>0.10000000000000009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0</v>
      </c>
      <c r="G43" s="249">
        <f>G42+G36</f>
        <v>0</v>
      </c>
      <c r="H43" s="250">
        <f>H42+H36</f>
        <v>16</v>
      </c>
      <c r="I43" s="251">
        <f>I42+I36</f>
        <v>15840</v>
      </c>
      <c r="J43" s="316">
        <f t="shared" si="0"/>
        <v>3</v>
      </c>
      <c r="K43" s="317">
        <f t="shared" si="0"/>
        <v>2.3</v>
      </c>
      <c r="L43" s="160">
        <f>L42+L36</f>
        <v>4</v>
      </c>
      <c r="M43" s="159">
        <f>M42+M36</f>
        <v>4800</v>
      </c>
      <c r="N43" s="161">
        <f t="shared" si="2"/>
        <v>-0.23809523809523814</v>
      </c>
      <c r="O43" s="162">
        <f t="shared" si="2"/>
        <v>0.0319218241042345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0</v>
      </c>
      <c r="G72" s="253">
        <f>F72*E72</f>
        <v>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2</v>
      </c>
      <c r="G74" s="265">
        <f>F74*E74</f>
        <v>600</v>
      </c>
      <c r="H74" s="266">
        <v>3</v>
      </c>
      <c r="I74" s="267">
        <f>H74*E74</f>
        <v>900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2</v>
      </c>
      <c r="O74" s="93">
        <f t="shared" si="4"/>
        <v>1.903225806451613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600</v>
      </c>
      <c r="H75" s="259">
        <f>SUM(H72:H74)</f>
        <v>4</v>
      </c>
      <c r="I75" s="260">
        <f>SUM(I72:I74)</f>
        <v>1090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-0.75</v>
      </c>
      <c r="O75" s="102">
        <f t="shared" si="4"/>
        <v>-0.6254295532646048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6</v>
      </c>
      <c r="G76" s="253">
        <f>F76*E76</f>
        <v>2640</v>
      </c>
      <c r="H76" s="254">
        <v>20</v>
      </c>
      <c r="I76" s="255">
        <f>H76*E76</f>
        <v>8800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-0.574468085106383</v>
      </c>
      <c r="O76" s="111">
        <f t="shared" si="4"/>
        <v>-0.5845136921624174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15</v>
      </c>
      <c r="G77" s="265">
        <f>F77*E77</f>
        <v>7800</v>
      </c>
      <c r="H77" s="266">
        <v>30</v>
      </c>
      <c r="I77" s="267">
        <f>H77*E77</f>
        <v>15600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-0.25</v>
      </c>
      <c r="O77" s="93">
        <f t="shared" si="4"/>
        <v>-0.26066350710900477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1</v>
      </c>
      <c r="G78" s="265">
        <f>F78*E78</f>
        <v>600</v>
      </c>
      <c r="H78" s="266">
        <v>4</v>
      </c>
      <c r="I78" s="267">
        <f>H78*E78</f>
        <v>2400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22</v>
      </c>
      <c r="G79" s="258">
        <f>SUM(G76:G78)</f>
        <v>11040</v>
      </c>
      <c r="H79" s="259">
        <f>SUM(H76:H78)</f>
        <v>54</v>
      </c>
      <c r="I79" s="260">
        <f>SUM(I76:I78)</f>
        <v>26800</v>
      </c>
      <c r="J79" s="306">
        <f t="shared" si="3"/>
        <v>0.19999999999999996</v>
      </c>
      <c r="K79" s="307">
        <f t="shared" si="3"/>
        <v>0.34403209628886655</v>
      </c>
      <c r="L79" s="145">
        <v>45</v>
      </c>
      <c r="M79" s="144">
        <v>19940</v>
      </c>
      <c r="N79" s="101">
        <f t="shared" si="4"/>
        <v>-0.3793103448275862</v>
      </c>
      <c r="O79" s="102">
        <f t="shared" si="4"/>
        <v>-0.36613055818353835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24</v>
      </c>
      <c r="G82" s="276">
        <f>G81+G79+G75</f>
        <v>11640</v>
      </c>
      <c r="H82" s="277">
        <f>H81+H79+H75</f>
        <v>58</v>
      </c>
      <c r="I82" s="278">
        <f>I81+I79+I75</f>
        <v>27890</v>
      </c>
      <c r="J82" s="316">
        <f t="shared" si="3"/>
        <v>0.288888888888889</v>
      </c>
      <c r="K82" s="317">
        <f t="shared" si="3"/>
        <v>0.3986960882647943</v>
      </c>
      <c r="L82" s="204">
        <f>L81+L79+L75</f>
        <v>45</v>
      </c>
      <c r="M82" s="205">
        <f>M81+M79+M75</f>
        <v>19940</v>
      </c>
      <c r="N82" s="161">
        <f t="shared" si="4"/>
        <v>-0.4368932038834952</v>
      </c>
      <c r="O82" s="162">
        <f t="shared" si="4"/>
        <v>-0.38282805930515595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32</v>
      </c>
      <c r="G83" s="342">
        <f>G82+G71+G43+G34</f>
        <v>16030</v>
      </c>
      <c r="H83" s="343">
        <f>H82+H71+H43+H34</f>
        <v>158</v>
      </c>
      <c r="I83" s="344">
        <f>I82+I71+I43+I34</f>
        <v>84945</v>
      </c>
      <c r="J83" s="345">
        <f t="shared" si="3"/>
        <v>-0.048192771084337394</v>
      </c>
      <c r="K83" s="346">
        <f t="shared" si="3"/>
        <v>0.10850841706903291</v>
      </c>
      <c r="L83" s="341">
        <f>L82+L71+L43+L34</f>
        <v>166</v>
      </c>
      <c r="M83" s="347">
        <f>M82+M71+M43+M34</f>
        <v>76630</v>
      </c>
      <c r="N83" s="348">
        <f t="shared" si="4"/>
        <v>-0.5623268698060941</v>
      </c>
      <c r="O83" s="349">
        <f t="shared" si="4"/>
        <v>-0.487573143512095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AA24" sqref="AA24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89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90</v>
      </c>
      <c r="G5" s="215"/>
      <c r="H5" s="216" t="s">
        <v>91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-0.30000000000000004</v>
      </c>
      <c r="K11" s="310">
        <f t="shared" si="0"/>
        <v>-0.2735849056603774</v>
      </c>
      <c r="L11" s="112">
        <v>10</v>
      </c>
      <c r="M11" s="109">
        <v>5300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7</v>
      </c>
      <c r="I12" s="230">
        <f>H12*E12</f>
        <v>4725</v>
      </c>
      <c r="J12" s="302">
        <f t="shared" si="0"/>
        <v>-0.2222222222222222</v>
      </c>
      <c r="K12" s="303">
        <f t="shared" si="0"/>
        <v>-0.1796875</v>
      </c>
      <c r="L12" s="94">
        <v>9</v>
      </c>
      <c r="M12" s="91">
        <v>5760</v>
      </c>
      <c r="N12" s="92">
        <f t="shared" si="1"/>
        <v>-0.75</v>
      </c>
      <c r="O12" s="93">
        <f t="shared" si="1"/>
        <v>-0.7265625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0</v>
      </c>
      <c r="G14" s="233">
        <f>SUM(G11:G13)</f>
        <v>0</v>
      </c>
      <c r="H14" s="234">
        <f>SUM(H11:H13)</f>
        <v>17</v>
      </c>
      <c r="I14" s="235">
        <f>SUM(I11:I13)</f>
        <v>11005</v>
      </c>
      <c r="J14" s="306">
        <f t="shared" si="0"/>
        <v>-0.10526315789473684</v>
      </c>
      <c r="K14" s="307">
        <f t="shared" si="0"/>
        <v>-0.00497287522603973</v>
      </c>
      <c r="L14" s="99">
        <f>SUM(L11:L13)</f>
        <v>19</v>
      </c>
      <c r="M14" s="100">
        <f>SUM(M11:M13)</f>
        <v>11060</v>
      </c>
      <c r="N14" s="101">
        <f t="shared" si="1"/>
        <v>-0.6458333333333333</v>
      </c>
      <c r="O14" s="102">
        <f t="shared" si="1"/>
        <v>-0.6052725968436155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0</v>
      </c>
      <c r="G15" s="271">
        <f>SUM(G10,G14)</f>
        <v>0</v>
      </c>
      <c r="H15" s="272">
        <f>H14+H10</f>
        <v>17</v>
      </c>
      <c r="I15" s="273">
        <f>I14+I10</f>
        <v>11005</v>
      </c>
      <c r="J15" s="314">
        <f t="shared" si="0"/>
        <v>-0.15000000000000002</v>
      </c>
      <c r="K15" s="315">
        <f t="shared" si="0"/>
        <v>-0.020035618878005312</v>
      </c>
      <c r="L15" s="172">
        <f>L14+L10</f>
        <v>20</v>
      </c>
      <c r="M15" s="173">
        <f>M14+M10</f>
        <v>11230</v>
      </c>
      <c r="N15" s="174">
        <f t="shared" si="1"/>
        <v>-0.7017543859649122</v>
      </c>
      <c r="O15" s="175">
        <f t="shared" si="1"/>
        <v>-0.6357166501158557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1</v>
      </c>
      <c r="I20" s="238">
        <f>H20*E20</f>
        <v>440</v>
      </c>
      <c r="J20" s="309">
        <f t="shared" si="0"/>
        <v>-0.8</v>
      </c>
      <c r="K20" s="310">
        <f t="shared" si="0"/>
        <v>-0.8</v>
      </c>
      <c r="L20" s="112">
        <v>5</v>
      </c>
      <c r="M20" s="109">
        <v>2200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2</v>
      </c>
      <c r="G21" s="228">
        <f>F21*E21</f>
        <v>1040</v>
      </c>
      <c r="H21" s="229">
        <v>4</v>
      </c>
      <c r="I21" s="230">
        <f>H21*E21</f>
        <v>2080</v>
      </c>
      <c r="J21" s="302">
        <f t="shared" si="0"/>
        <v>-0.33333333333333337</v>
      </c>
      <c r="K21" s="303">
        <f t="shared" si="0"/>
        <v>-0.33333333333333337</v>
      </c>
      <c r="L21" s="94">
        <v>6</v>
      </c>
      <c r="M21" s="91">
        <v>3120</v>
      </c>
      <c r="N21" s="92">
        <f t="shared" si="1"/>
        <v>-0.6923076923076923</v>
      </c>
      <c r="O21" s="93">
        <f t="shared" si="1"/>
        <v>-0.6923076923076923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2</v>
      </c>
      <c r="G23" s="233">
        <f>SUM(G20:G22)</f>
        <v>1040</v>
      </c>
      <c r="H23" s="234">
        <f>SUM(H20:H22)</f>
        <v>5</v>
      </c>
      <c r="I23" s="235">
        <f>SUM(I20:I22)</f>
        <v>2520</v>
      </c>
      <c r="J23" s="306">
        <f t="shared" si="0"/>
        <v>-0.5454545454545454</v>
      </c>
      <c r="K23" s="307">
        <f t="shared" si="0"/>
        <v>-0.5263157894736843</v>
      </c>
      <c r="L23" s="99">
        <f>SUM(L20:L22)</f>
        <v>11</v>
      </c>
      <c r="M23" s="100">
        <f>SUM(M20:M22)</f>
        <v>5320</v>
      </c>
      <c r="N23" s="101">
        <f t="shared" si="1"/>
        <v>-0.8333333333333334</v>
      </c>
      <c r="O23" s="102">
        <f t="shared" si="1"/>
        <v>-0.8230337078651686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2</v>
      </c>
      <c r="G24" s="271">
        <f>SUM(G19,G23)</f>
        <v>1040</v>
      </c>
      <c r="H24" s="272">
        <f>H23+H19</f>
        <v>5</v>
      </c>
      <c r="I24" s="273">
        <f>I23+I19</f>
        <v>2520</v>
      </c>
      <c r="J24" s="314">
        <f t="shared" si="0"/>
        <v>-0.6153846153846154</v>
      </c>
      <c r="K24" s="315">
        <f t="shared" si="0"/>
        <v>-0.5523978685612789</v>
      </c>
      <c r="L24" s="172">
        <f>L23+L19</f>
        <v>13</v>
      </c>
      <c r="M24" s="173">
        <f>M23+M19</f>
        <v>5630</v>
      </c>
      <c r="N24" s="174">
        <f t="shared" si="1"/>
        <v>-0.868421052631579</v>
      </c>
      <c r="O24" s="175">
        <f t="shared" si="1"/>
        <v>-0.8357235984354628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1</v>
      </c>
      <c r="G27" s="228">
        <f>F27*E27</f>
        <v>300</v>
      </c>
      <c r="H27" s="229">
        <v>6</v>
      </c>
      <c r="I27" s="230">
        <f>H27*E27</f>
        <v>1800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-0.1428571428571429</v>
      </c>
      <c r="O27" s="93">
        <f t="shared" si="1"/>
        <v>-0.17050691244239635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10</v>
      </c>
      <c r="I28" s="235">
        <f>SUM(I25:I27)</f>
        <v>2350</v>
      </c>
      <c r="J28" s="306">
        <f t="shared" si="0"/>
        <v>-0.375</v>
      </c>
      <c r="K28" s="307">
        <f t="shared" si="0"/>
        <v>-0.07843137254901966</v>
      </c>
      <c r="L28" s="99">
        <f>SUM(L25:L27)</f>
        <v>16</v>
      </c>
      <c r="M28" s="100">
        <f>SUM(M25:M27)</f>
        <v>2550</v>
      </c>
      <c r="N28" s="101">
        <f t="shared" si="1"/>
        <v>-0.6153846153846154</v>
      </c>
      <c r="O28" s="102">
        <f t="shared" si="1"/>
        <v>-0.5374015748031495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0</v>
      </c>
      <c r="G29" s="236">
        <f>F29*E29</f>
        <v>0</v>
      </c>
      <c r="H29" s="237">
        <v>30</v>
      </c>
      <c r="I29" s="238">
        <f>H29*E29</f>
        <v>13200</v>
      </c>
      <c r="J29" s="309">
        <f t="shared" si="0"/>
        <v>-0.16666666666666663</v>
      </c>
      <c r="K29" s="310">
        <f t="shared" si="0"/>
        <v>-0.16666666666666663</v>
      </c>
      <c r="L29" s="112">
        <v>36</v>
      </c>
      <c r="M29" s="109">
        <v>15840</v>
      </c>
      <c r="N29" s="110">
        <f t="shared" si="1"/>
        <v>-0.4444444444444444</v>
      </c>
      <c r="O29" s="111">
        <f t="shared" si="1"/>
        <v>-0.4444444444444444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20</v>
      </c>
      <c r="I30" s="230">
        <f>H30*E30</f>
        <v>10400</v>
      </c>
      <c r="J30" s="302">
        <f t="shared" si="0"/>
        <v>-0.375</v>
      </c>
      <c r="K30" s="303">
        <f t="shared" si="0"/>
        <v>-0.375</v>
      </c>
      <c r="L30" s="94">
        <v>32</v>
      </c>
      <c r="M30" s="91">
        <v>16640</v>
      </c>
      <c r="N30" s="92">
        <f t="shared" si="1"/>
        <v>-0.5121951219512195</v>
      </c>
      <c r="O30" s="93">
        <f t="shared" si="1"/>
        <v>-0.5238095238095238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f>F31*E31</f>
        <v>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</v>
      </c>
      <c r="G32" s="233">
        <f>SUM(G29:G31)</f>
        <v>520</v>
      </c>
      <c r="H32" s="234">
        <f>SUM(H29:H31)</f>
        <v>56</v>
      </c>
      <c r="I32" s="235">
        <f>SUM(I29:I31)</f>
        <v>27200</v>
      </c>
      <c r="J32" s="306">
        <f t="shared" si="0"/>
        <v>-0.17647058823529416</v>
      </c>
      <c r="K32" s="307">
        <f t="shared" si="0"/>
        <v>-0.16256157635467983</v>
      </c>
      <c r="L32" s="99">
        <f>SUM(L29:L31)</f>
        <v>68</v>
      </c>
      <c r="M32" s="100">
        <f>SUM(M29:M31)</f>
        <v>32480</v>
      </c>
      <c r="N32" s="101">
        <f t="shared" si="1"/>
        <v>-0.41052631578947374</v>
      </c>
      <c r="O32" s="102">
        <f t="shared" si="1"/>
        <v>-0.4035087719298246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2</v>
      </c>
      <c r="G33" s="271">
        <f>SUM(G28,G32)</f>
        <v>820</v>
      </c>
      <c r="H33" s="272">
        <f>H32+H28</f>
        <v>66</v>
      </c>
      <c r="I33" s="273">
        <f>I32+I28</f>
        <v>29550</v>
      </c>
      <c r="J33" s="314">
        <f t="shared" si="0"/>
        <v>-0.2142857142857143</v>
      </c>
      <c r="K33" s="315">
        <f t="shared" si="0"/>
        <v>-0.15643733942335136</v>
      </c>
      <c r="L33" s="172">
        <f>L32+L28</f>
        <v>84</v>
      </c>
      <c r="M33" s="173">
        <f>M32+M28</f>
        <v>35030</v>
      </c>
      <c r="N33" s="174">
        <f t="shared" si="1"/>
        <v>-0.4545454545454546</v>
      </c>
      <c r="O33" s="175">
        <f t="shared" si="1"/>
        <v>-0.4169297553275454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4</v>
      </c>
      <c r="G34" s="249">
        <f>G15+G24+G33</f>
        <v>1860</v>
      </c>
      <c r="H34" s="250">
        <f>H15+H24+H33</f>
        <v>88</v>
      </c>
      <c r="I34" s="251">
        <f>I15+I24+I33</f>
        <v>43075</v>
      </c>
      <c r="J34" s="316">
        <f t="shared" si="0"/>
        <v>-0.24786324786324787</v>
      </c>
      <c r="K34" s="317">
        <f t="shared" si="0"/>
        <v>-0.16987858932356914</v>
      </c>
      <c r="L34" s="160">
        <f>L15+L24+L33</f>
        <v>117</v>
      </c>
      <c r="M34" s="159">
        <f>M15+M24+M33</f>
        <v>51890</v>
      </c>
      <c r="N34" s="161">
        <f t="shared" si="1"/>
        <v>-0.5925925925925926</v>
      </c>
      <c r="O34" s="162">
        <f t="shared" si="1"/>
        <v>-0.5523745193806505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1</v>
      </c>
      <c r="G35" s="253">
        <f>F35*E35</f>
        <v>990</v>
      </c>
      <c r="H35" s="254">
        <v>17</v>
      </c>
      <c r="I35" s="255">
        <f>H35*E35</f>
        <v>16830</v>
      </c>
      <c r="J35" s="299">
        <f t="shared" si="0"/>
        <v>3.25</v>
      </c>
      <c r="K35" s="300">
        <f t="shared" si="0"/>
        <v>2.50625</v>
      </c>
      <c r="L35" s="141">
        <v>4</v>
      </c>
      <c r="M35" s="140">
        <v>4800</v>
      </c>
      <c r="N35" s="81">
        <f t="shared" si="1"/>
        <v>0.7</v>
      </c>
      <c r="O35" s="82">
        <f t="shared" si="1"/>
        <v>0.16874999999999996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1</v>
      </c>
      <c r="G36" s="258">
        <f>G35</f>
        <v>990</v>
      </c>
      <c r="H36" s="259">
        <f>H35</f>
        <v>17</v>
      </c>
      <c r="I36" s="260">
        <f>I35</f>
        <v>16830</v>
      </c>
      <c r="J36" s="306">
        <f t="shared" si="0"/>
        <v>3.25</v>
      </c>
      <c r="K36" s="307">
        <f t="shared" si="0"/>
        <v>2.50625</v>
      </c>
      <c r="L36" s="145">
        <f>L35</f>
        <v>4</v>
      </c>
      <c r="M36" s="144">
        <f>M35</f>
        <v>4800</v>
      </c>
      <c r="N36" s="101">
        <f t="shared" si="1"/>
        <v>0.7</v>
      </c>
      <c r="O36" s="102">
        <f t="shared" si="1"/>
        <v>0.16874999999999996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1</v>
      </c>
      <c r="G43" s="249">
        <f>G42+G36</f>
        <v>990</v>
      </c>
      <c r="H43" s="250">
        <f>H42+H36</f>
        <v>17</v>
      </c>
      <c r="I43" s="251">
        <f>I42+I36</f>
        <v>16830</v>
      </c>
      <c r="J43" s="316">
        <f t="shared" si="0"/>
        <v>3.25</v>
      </c>
      <c r="K43" s="317">
        <f t="shared" si="0"/>
        <v>2.50625</v>
      </c>
      <c r="L43" s="160">
        <f>L42+L36</f>
        <v>4</v>
      </c>
      <c r="M43" s="159">
        <f>M42+M36</f>
        <v>4800</v>
      </c>
      <c r="N43" s="161">
        <f t="shared" si="2"/>
        <v>-0.19047619047619047</v>
      </c>
      <c r="O43" s="162">
        <f t="shared" si="2"/>
        <v>0.09641693811074914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0</v>
      </c>
      <c r="G72" s="253">
        <f>F72*E72</f>
        <v>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0</v>
      </c>
      <c r="G74" s="265">
        <f>F74*E74</f>
        <v>0</v>
      </c>
      <c r="H74" s="266">
        <v>3</v>
      </c>
      <c r="I74" s="267">
        <f>H74*E74</f>
        <v>900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2</v>
      </c>
      <c r="O74" s="93">
        <f t="shared" si="4"/>
        <v>1.903225806451613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4</v>
      </c>
      <c r="I75" s="260">
        <f>SUM(I72:I74)</f>
        <v>1090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-0.75</v>
      </c>
      <c r="O75" s="102">
        <f t="shared" si="4"/>
        <v>-0.6254295532646048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0</v>
      </c>
      <c r="G76" s="253">
        <f>F76*E76</f>
        <v>0</v>
      </c>
      <c r="H76" s="254">
        <v>20</v>
      </c>
      <c r="I76" s="255">
        <f>H76*E76</f>
        <v>8800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-0.574468085106383</v>
      </c>
      <c r="O76" s="111">
        <f t="shared" si="4"/>
        <v>-0.5845136921624174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</v>
      </c>
      <c r="G77" s="265">
        <f>F77*E77</f>
        <v>520</v>
      </c>
      <c r="H77" s="266">
        <v>31</v>
      </c>
      <c r="I77" s="267">
        <f>H77*E77</f>
        <v>16120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-0.22499999999999998</v>
      </c>
      <c r="O77" s="93">
        <f t="shared" si="4"/>
        <v>-0.23601895734597156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0</v>
      </c>
      <c r="G78" s="265">
        <f>F78*E78</f>
        <v>0</v>
      </c>
      <c r="H78" s="266">
        <v>4</v>
      </c>
      <c r="I78" s="267">
        <f>H78*E78</f>
        <v>2400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1</v>
      </c>
      <c r="G79" s="258">
        <f>SUM(G76:G78)</f>
        <v>520</v>
      </c>
      <c r="H79" s="259">
        <f>SUM(H76:H78)</f>
        <v>55</v>
      </c>
      <c r="I79" s="260">
        <f>SUM(I76:I78)</f>
        <v>27320</v>
      </c>
      <c r="J79" s="306">
        <f t="shared" si="3"/>
        <v>0.22222222222222232</v>
      </c>
      <c r="K79" s="307">
        <f t="shared" si="3"/>
        <v>0.37011033099297896</v>
      </c>
      <c r="L79" s="145">
        <v>45</v>
      </c>
      <c r="M79" s="144">
        <v>19940</v>
      </c>
      <c r="N79" s="101">
        <f t="shared" si="4"/>
        <v>-0.367816091954023</v>
      </c>
      <c r="O79" s="102">
        <f t="shared" si="4"/>
        <v>-0.3538315988647115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1</v>
      </c>
      <c r="G82" s="276">
        <f>G81+G79+G75</f>
        <v>520</v>
      </c>
      <c r="H82" s="277">
        <f>H81+H79+H75</f>
        <v>59</v>
      </c>
      <c r="I82" s="278">
        <f>I81+I79+I75</f>
        <v>28410</v>
      </c>
      <c r="J82" s="316">
        <f t="shared" si="3"/>
        <v>0.3111111111111111</v>
      </c>
      <c r="K82" s="317">
        <f t="shared" si="3"/>
        <v>0.4247743229689067</v>
      </c>
      <c r="L82" s="204">
        <f>L81+L79+L75</f>
        <v>45</v>
      </c>
      <c r="M82" s="205">
        <f>M81+M79+M75</f>
        <v>19940</v>
      </c>
      <c r="N82" s="161">
        <f t="shared" si="4"/>
        <v>-0.4271844660194175</v>
      </c>
      <c r="O82" s="162">
        <f t="shared" si="4"/>
        <v>-0.3713210887364461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6</v>
      </c>
      <c r="G83" s="342">
        <f>G82+G71+G43+G34</f>
        <v>3370</v>
      </c>
      <c r="H83" s="343">
        <f>H82+H71+H43+H34</f>
        <v>164</v>
      </c>
      <c r="I83" s="344">
        <f>I82+I71+I43+I34</f>
        <v>88315</v>
      </c>
      <c r="J83" s="345">
        <f t="shared" si="3"/>
        <v>-0.012048192771084376</v>
      </c>
      <c r="K83" s="346">
        <f t="shared" si="3"/>
        <v>0.1524859715516116</v>
      </c>
      <c r="L83" s="341">
        <f>L82+L71+L43+L34</f>
        <v>166</v>
      </c>
      <c r="M83" s="347">
        <f>M82+M71+M43+M34</f>
        <v>76630</v>
      </c>
      <c r="N83" s="348">
        <f t="shared" si="4"/>
        <v>-0.5457063711911357</v>
      </c>
      <c r="O83" s="349">
        <f t="shared" si="4"/>
        <v>-0.4672437714906196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Z57" sqref="Z5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92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93</v>
      </c>
      <c r="G5" s="215"/>
      <c r="H5" s="216" t="s">
        <v>94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>
        <v>0</v>
      </c>
      <c r="G6" s="291">
        <v>0</v>
      </c>
      <c r="H6" s="292">
        <v>0</v>
      </c>
      <c r="I6" s="293">
        <v>0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v>0</v>
      </c>
      <c r="H7" s="223">
        <v>3</v>
      </c>
      <c r="I7" s="224">
        <v>570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v>0</v>
      </c>
      <c r="J8" s="302">
        <f t="shared" si="0"/>
        <v>0</v>
      </c>
      <c r="K8" s="303">
        <f t="shared" si="0"/>
        <v>0.05882352941176472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v>0</v>
      </c>
      <c r="H9" s="229">
        <v>0</v>
      </c>
      <c r="I9" s="230"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1</v>
      </c>
      <c r="G10" s="233">
        <f>SUM(G7:G9)</f>
        <v>0</v>
      </c>
      <c r="H10" s="234">
        <f>SUM(H7:H9)</f>
        <v>1</v>
      </c>
      <c r="I10" s="235">
        <f>SUM(I7:I9)</f>
        <v>180</v>
      </c>
      <c r="J10" s="306">
        <f t="shared" si="0"/>
        <v>0</v>
      </c>
      <c r="K10" s="307">
        <f t="shared" si="0"/>
        <v>0.05882352941176472</v>
      </c>
      <c r="L10" s="99">
        <f>SUM(L7:L9)</f>
        <v>1</v>
      </c>
      <c r="M10" s="100">
        <f>SUM(M7:M9)</f>
        <v>170</v>
      </c>
      <c r="N10" s="101">
        <f t="shared" si="1"/>
        <v>-0.8888888888888888</v>
      </c>
      <c r="O10" s="102">
        <f t="shared" si="1"/>
        <v>-0.9227467811158798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v>0</v>
      </c>
      <c r="H11" s="237">
        <v>0</v>
      </c>
      <c r="I11" s="238">
        <v>0</v>
      </c>
      <c r="J11" s="309">
        <f>IFERROR(H11/L11-1,"-")</f>
        <v>-0.19999999999999996</v>
      </c>
      <c r="K11" s="310">
        <f t="shared" si="0"/>
        <v>-0.16981132075471694</v>
      </c>
      <c r="L11" s="112">
        <v>10</v>
      </c>
      <c r="M11" s="109">
        <v>5300</v>
      </c>
      <c r="N11" s="110">
        <f t="shared" si="1"/>
        <v>-0.6</v>
      </c>
      <c r="O11" s="111">
        <f t="shared" si="1"/>
        <v>-0.5849056603773585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v>0</v>
      </c>
      <c r="H12" s="229">
        <v>51</v>
      </c>
      <c r="I12" s="230">
        <v>25500</v>
      </c>
      <c r="J12" s="302">
        <f t="shared" si="0"/>
        <v>0</v>
      </c>
      <c r="K12" s="303">
        <f t="shared" si="0"/>
        <v>0.0546875</v>
      </c>
      <c r="L12" s="94">
        <v>9</v>
      </c>
      <c r="M12" s="91">
        <v>5760</v>
      </c>
      <c r="N12" s="92">
        <f t="shared" si="1"/>
        <v>-0.6785714285714286</v>
      </c>
      <c r="O12" s="93">
        <f t="shared" si="1"/>
        <v>-0.6484375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v>0</v>
      </c>
      <c r="H13" s="229">
        <v>0</v>
      </c>
      <c r="I13" s="230">
        <v>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3</v>
      </c>
      <c r="G14" s="233">
        <f>SUM(G11:G13)</f>
        <v>1900</v>
      </c>
      <c r="H14" s="234">
        <f>SUM(H11:H13)</f>
        <v>20</v>
      </c>
      <c r="I14" s="235">
        <f>SUM(I11:I13)</f>
        <v>12905</v>
      </c>
      <c r="J14" s="306">
        <f t="shared" si="0"/>
        <v>0.05263157894736836</v>
      </c>
      <c r="K14" s="307">
        <f t="shared" si="0"/>
        <v>0.16681735985533463</v>
      </c>
      <c r="L14" s="99">
        <f>SUM(L11:L13)</f>
        <v>19</v>
      </c>
      <c r="M14" s="100">
        <f>SUM(M11:M13)</f>
        <v>11060</v>
      </c>
      <c r="N14" s="101">
        <f t="shared" si="1"/>
        <v>-0.5833333333333333</v>
      </c>
      <c r="O14" s="102">
        <f t="shared" si="1"/>
        <v>-0.5371233859397417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4</v>
      </c>
      <c r="G15" s="271">
        <f>SUM(G10,G14)</f>
        <v>1900</v>
      </c>
      <c r="H15" s="272">
        <f>H14+H10</f>
        <v>21</v>
      </c>
      <c r="I15" s="273">
        <f>I14+I10</f>
        <v>13085</v>
      </c>
      <c r="J15" s="314">
        <f t="shared" si="0"/>
        <v>0.050000000000000044</v>
      </c>
      <c r="K15" s="315">
        <f t="shared" si="0"/>
        <v>0.1651825467497774</v>
      </c>
      <c r="L15" s="172">
        <f>L14+L10</f>
        <v>20</v>
      </c>
      <c r="M15" s="173">
        <f>M14+M10</f>
        <v>11230</v>
      </c>
      <c r="N15" s="174">
        <f t="shared" si="1"/>
        <v>-0.631578947368421</v>
      </c>
      <c r="O15" s="175">
        <f t="shared" si="1"/>
        <v>-0.5668652763985436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v>0</v>
      </c>
      <c r="H16" s="237">
        <v>0</v>
      </c>
      <c r="I16" s="238"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v>0</v>
      </c>
      <c r="H17" s="229">
        <v>0</v>
      </c>
      <c r="I17" s="230"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v>0</v>
      </c>
      <c r="H18" s="229">
        <v>0</v>
      </c>
      <c r="I18" s="230"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v>0</v>
      </c>
      <c r="H20" s="237">
        <v>0</v>
      </c>
      <c r="I20" s="238">
        <v>0</v>
      </c>
      <c r="J20" s="309">
        <f t="shared" si="0"/>
        <v>-0.6</v>
      </c>
      <c r="K20" s="310">
        <f t="shared" si="0"/>
        <v>-0.6</v>
      </c>
      <c r="L20" s="112">
        <v>5</v>
      </c>
      <c r="M20" s="109">
        <v>2200</v>
      </c>
      <c r="N20" s="110">
        <f t="shared" si="1"/>
        <v>-0.8823529411764706</v>
      </c>
      <c r="O20" s="111">
        <f t="shared" si="1"/>
        <v>-0.8823529411764706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v>0</v>
      </c>
      <c r="H21" s="229">
        <v>0</v>
      </c>
      <c r="I21" s="230">
        <v>0</v>
      </c>
      <c r="J21" s="302">
        <f t="shared" si="0"/>
        <v>-0.33333333333333337</v>
      </c>
      <c r="K21" s="303">
        <f t="shared" si="0"/>
        <v>-0.33333333333333337</v>
      </c>
      <c r="L21" s="94">
        <v>6</v>
      </c>
      <c r="M21" s="91">
        <v>3120</v>
      </c>
      <c r="N21" s="92">
        <f t="shared" si="1"/>
        <v>-0.6923076923076923</v>
      </c>
      <c r="O21" s="93">
        <f t="shared" si="1"/>
        <v>-0.6923076923076923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v>0</v>
      </c>
      <c r="H22" s="229">
        <v>0</v>
      </c>
      <c r="I22" s="230"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1</v>
      </c>
      <c r="G23" s="233">
        <f>SUM(G20:G22)</f>
        <v>440</v>
      </c>
      <c r="H23" s="234">
        <f>SUM(H20:H22)</f>
        <v>6</v>
      </c>
      <c r="I23" s="235">
        <f>SUM(I20:I22)</f>
        <v>2960</v>
      </c>
      <c r="J23" s="306">
        <f t="shared" si="0"/>
        <v>-0.4545454545454546</v>
      </c>
      <c r="K23" s="307">
        <f t="shared" si="0"/>
        <v>-0.443609022556391</v>
      </c>
      <c r="L23" s="99">
        <f>SUM(L20:L22)</f>
        <v>11</v>
      </c>
      <c r="M23" s="100">
        <f>SUM(M20:M22)</f>
        <v>5320</v>
      </c>
      <c r="N23" s="101">
        <f t="shared" si="1"/>
        <v>-0.8</v>
      </c>
      <c r="O23" s="102">
        <f t="shared" si="1"/>
        <v>-0.7921348314606742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1</v>
      </c>
      <c r="G24" s="271">
        <f>SUM(G19,G23)</f>
        <v>440</v>
      </c>
      <c r="H24" s="272">
        <f>H23+H19</f>
        <v>6</v>
      </c>
      <c r="I24" s="273">
        <f>I23+I19</f>
        <v>2960</v>
      </c>
      <c r="J24" s="314">
        <f t="shared" si="0"/>
        <v>-0.5384615384615384</v>
      </c>
      <c r="K24" s="315">
        <f t="shared" si="0"/>
        <v>-0.4742451154529307</v>
      </c>
      <c r="L24" s="172">
        <f>L23+L19</f>
        <v>13</v>
      </c>
      <c r="M24" s="173">
        <f>M23+M19</f>
        <v>5630</v>
      </c>
      <c r="N24" s="174">
        <f t="shared" si="1"/>
        <v>-0.8421052631578947</v>
      </c>
      <c r="O24" s="175">
        <f t="shared" si="1"/>
        <v>-0.8070404172099087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v>0</v>
      </c>
      <c r="H25" s="237">
        <v>0</v>
      </c>
      <c r="I25" s="238">
        <v>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v>0</v>
      </c>
      <c r="H26" s="229">
        <v>0</v>
      </c>
      <c r="I26" s="230">
        <v>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v>0</v>
      </c>
      <c r="H27" s="229">
        <v>0</v>
      </c>
      <c r="I27" s="230">
        <v>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-0.1428571428571429</v>
      </c>
      <c r="O27" s="93">
        <f t="shared" si="1"/>
        <v>-0.17050691244239635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10</v>
      </c>
      <c r="I28" s="235">
        <f>SUM(I25:I27)</f>
        <v>2350</v>
      </c>
      <c r="J28" s="306">
        <f t="shared" si="0"/>
        <v>-0.375</v>
      </c>
      <c r="K28" s="307">
        <f t="shared" si="0"/>
        <v>-0.07843137254901966</v>
      </c>
      <c r="L28" s="99">
        <f>SUM(L25:L27)</f>
        <v>16</v>
      </c>
      <c r="M28" s="100">
        <f>SUM(M25:M27)</f>
        <v>2550</v>
      </c>
      <c r="N28" s="101">
        <f t="shared" si="1"/>
        <v>-0.6153846153846154</v>
      </c>
      <c r="O28" s="102">
        <f t="shared" si="1"/>
        <v>-0.5374015748031495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0</v>
      </c>
      <c r="G29" s="236">
        <v>0</v>
      </c>
      <c r="H29" s="237">
        <v>0</v>
      </c>
      <c r="I29" s="238">
        <v>0</v>
      </c>
      <c r="J29" s="309">
        <f t="shared" si="0"/>
        <v>0.02777777777777768</v>
      </c>
      <c r="K29" s="310">
        <f t="shared" si="0"/>
        <v>0.02777777777777768</v>
      </c>
      <c r="L29" s="112">
        <v>36</v>
      </c>
      <c r="M29" s="109">
        <v>15840</v>
      </c>
      <c r="N29" s="110">
        <f t="shared" si="1"/>
        <v>-0.31481481481481477</v>
      </c>
      <c r="O29" s="111">
        <f t="shared" si="1"/>
        <v>-0.31481481481481477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0</v>
      </c>
      <c r="G30" s="228">
        <v>0</v>
      </c>
      <c r="H30" s="229">
        <v>0</v>
      </c>
      <c r="I30" s="230">
        <v>0</v>
      </c>
      <c r="J30" s="302">
        <f t="shared" si="0"/>
        <v>-0.28125</v>
      </c>
      <c r="K30" s="303">
        <f t="shared" si="0"/>
        <v>-0.28125</v>
      </c>
      <c r="L30" s="94">
        <v>32</v>
      </c>
      <c r="M30" s="91">
        <v>16640</v>
      </c>
      <c r="N30" s="92">
        <f t="shared" si="1"/>
        <v>-0.4390243902439024</v>
      </c>
      <c r="O30" s="93">
        <f t="shared" si="1"/>
        <v>-0.45238095238095233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v>0</v>
      </c>
      <c r="H31" s="229">
        <v>0</v>
      </c>
      <c r="I31" s="230">
        <v>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10</v>
      </c>
      <c r="G32" s="233">
        <f>SUM(G29:G31)</f>
        <v>4640</v>
      </c>
      <c r="H32" s="234">
        <f>SUM(H29:H31)</f>
        <v>66</v>
      </c>
      <c r="I32" s="235">
        <f>SUM(I29:I31)</f>
        <v>31840</v>
      </c>
      <c r="J32" s="306">
        <f t="shared" si="0"/>
        <v>-0.02941176470588236</v>
      </c>
      <c r="K32" s="307">
        <f t="shared" si="0"/>
        <v>-0.019704433497536922</v>
      </c>
      <c r="L32" s="99">
        <f>SUM(L29:L31)</f>
        <v>68</v>
      </c>
      <c r="M32" s="100">
        <f>SUM(M29:M31)</f>
        <v>32480</v>
      </c>
      <c r="N32" s="101">
        <f t="shared" si="1"/>
        <v>-0.3052631578947368</v>
      </c>
      <c r="O32" s="102">
        <f t="shared" si="1"/>
        <v>-0.30175438596491233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10</v>
      </c>
      <c r="G33" s="271">
        <f>SUM(G28,G32)</f>
        <v>4640</v>
      </c>
      <c r="H33" s="272">
        <f>H32+H28</f>
        <v>76</v>
      </c>
      <c r="I33" s="273">
        <f>I32+I28</f>
        <v>34190</v>
      </c>
      <c r="J33" s="314">
        <f t="shared" si="0"/>
        <v>-0.09523809523809523</v>
      </c>
      <c r="K33" s="315">
        <f t="shared" si="0"/>
        <v>-0.023979446188980846</v>
      </c>
      <c r="L33" s="172">
        <f>L32+L28</f>
        <v>84</v>
      </c>
      <c r="M33" s="173">
        <f>M32+M28</f>
        <v>35030</v>
      </c>
      <c r="N33" s="174">
        <f t="shared" si="1"/>
        <v>-0.371900826446281</v>
      </c>
      <c r="O33" s="175">
        <f t="shared" si="1"/>
        <v>-0.3253749013417522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v>0</v>
      </c>
      <c r="G34" s="249">
        <v>0</v>
      </c>
      <c r="H34" s="250">
        <v>0</v>
      </c>
      <c r="I34" s="251">
        <v>0</v>
      </c>
      <c r="J34" s="316">
        <f t="shared" si="0"/>
        <v>-0.11965811965811968</v>
      </c>
      <c r="K34" s="317">
        <f t="shared" si="0"/>
        <v>-0.031894391983041004</v>
      </c>
      <c r="L34" s="160">
        <f>L15+L24+L33</f>
        <v>117</v>
      </c>
      <c r="M34" s="159">
        <f>M15+M24+M33</f>
        <v>51890</v>
      </c>
      <c r="N34" s="161">
        <f t="shared" si="1"/>
        <v>-0.5231481481481481</v>
      </c>
      <c r="O34" s="162">
        <f t="shared" si="1"/>
        <v>-0.4779694481970279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v>0</v>
      </c>
      <c r="H35" s="254">
        <v>18</v>
      </c>
      <c r="I35" s="255">
        <v>14400</v>
      </c>
      <c r="J35" s="299">
        <f t="shared" si="0"/>
        <v>3.25</v>
      </c>
      <c r="K35" s="300">
        <f t="shared" si="0"/>
        <v>2.50625</v>
      </c>
      <c r="L35" s="141">
        <v>4</v>
      </c>
      <c r="M35" s="140">
        <v>4800</v>
      </c>
      <c r="N35" s="81">
        <f t="shared" si="1"/>
        <v>0.7</v>
      </c>
      <c r="O35" s="82">
        <f t="shared" si="1"/>
        <v>0.16874999999999996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17</v>
      </c>
      <c r="I36" s="260">
        <f>I35</f>
        <v>16830</v>
      </c>
      <c r="J36" s="306">
        <f t="shared" si="0"/>
        <v>3.25</v>
      </c>
      <c r="K36" s="307">
        <f t="shared" si="0"/>
        <v>2.50625</v>
      </c>
      <c r="L36" s="145">
        <f>L35</f>
        <v>4</v>
      </c>
      <c r="M36" s="144">
        <f>M35</f>
        <v>4800</v>
      </c>
      <c r="N36" s="101">
        <f t="shared" si="1"/>
        <v>0.7</v>
      </c>
      <c r="O36" s="102">
        <f t="shared" si="1"/>
        <v>0.16874999999999996</v>
      </c>
      <c r="P36" s="145">
        <f>SUM(P35)</f>
        <v>10</v>
      </c>
      <c r="Q36" s="144">
        <f>SUM(Q35)</f>
        <v>14400</v>
      </c>
      <c r="R36" s="256"/>
    </row>
    <row r="37" ht="16.5" customHeight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>
        <v>0</v>
      </c>
      <c r="G37" s="262">
        <v>0</v>
      </c>
      <c r="H37" s="263">
        <v>0</v>
      </c>
      <c r="I37" s="264">
        <v>0</v>
      </c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spans="1:18" x14ac:dyDescent="0.25">
      <c r="A38" s="257"/>
      <c r="B38" s="321"/>
      <c r="C38" s="257"/>
      <c r="D38" s="87" t="s">
        <v>42</v>
      </c>
      <c r="E38" s="152">
        <v>100</v>
      </c>
      <c r="F38" s="153">
        <v>0</v>
      </c>
      <c r="G38" s="265">
        <v>0</v>
      </c>
      <c r="H38" s="266">
        <v>0</v>
      </c>
      <c r="I38" s="267">
        <v>0</v>
      </c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spans="1:18" x14ac:dyDescent="0.25">
      <c r="A39" s="257"/>
      <c r="B39" s="321"/>
      <c r="C39" s="257"/>
      <c r="D39" s="87" t="s">
        <v>25</v>
      </c>
      <c r="E39" s="152">
        <v>150</v>
      </c>
      <c r="F39" s="153">
        <v>0</v>
      </c>
      <c r="G39" s="265">
        <v>0</v>
      </c>
      <c r="H39" s="266">
        <v>0</v>
      </c>
      <c r="I39" s="267">
        <v>0</v>
      </c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spans="1:18" x14ac:dyDescent="0.25">
      <c r="A40" s="257"/>
      <c r="B40" s="321"/>
      <c r="C40" s="257"/>
      <c r="D40" s="87" t="s">
        <v>26</v>
      </c>
      <c r="E40" s="152">
        <v>200</v>
      </c>
      <c r="F40" s="153">
        <v>0</v>
      </c>
      <c r="G40" s="265">
        <v>0</v>
      </c>
      <c r="H40" s="266">
        <v>0</v>
      </c>
      <c r="I40" s="267">
        <v>0</v>
      </c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spans="1:18" x14ac:dyDescent="0.25">
      <c r="A41" s="257"/>
      <c r="B41" s="321"/>
      <c r="C41" s="257"/>
      <c r="D41" s="87" t="s">
        <v>27</v>
      </c>
      <c r="E41" s="152">
        <v>250</v>
      </c>
      <c r="F41" s="153">
        <v>0</v>
      </c>
      <c r="G41" s="265">
        <v>0</v>
      </c>
      <c r="H41" s="266">
        <v>0</v>
      </c>
      <c r="I41" s="267">
        <v>0</v>
      </c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v>0</v>
      </c>
      <c r="G43" s="249">
        <v>0</v>
      </c>
      <c r="H43" s="250">
        <v>0</v>
      </c>
      <c r="I43" s="251">
        <v>0</v>
      </c>
      <c r="J43" s="316">
        <f t="shared" si="0"/>
        <v>3.25</v>
      </c>
      <c r="K43" s="317">
        <f t="shared" si="0"/>
        <v>2.50625</v>
      </c>
      <c r="L43" s="160">
        <f>L42+L36</f>
        <v>4</v>
      </c>
      <c r="M43" s="159">
        <f>M42+M36</f>
        <v>4800</v>
      </c>
      <c r="N43" s="161">
        <f t="shared" si="2"/>
        <v>-0.19047619047619047</v>
      </c>
      <c r="O43" s="162">
        <f t="shared" si="2"/>
        <v>0.09641693811074914</v>
      </c>
      <c r="P43" s="160">
        <f>P42+P36</f>
        <v>21</v>
      </c>
      <c r="Q43" s="159">
        <f>Q42+Q36</f>
        <v>15350</v>
      </c>
      <c r="R43" s="256"/>
    </row>
    <row r="44" ht="16.5" customHeight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v>0</v>
      </c>
      <c r="H44" s="223">
        <v>0</v>
      </c>
      <c r="I44" s="224"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spans="1:18" x14ac:dyDescent="0.25">
      <c r="A45" s="85"/>
      <c r="B45" s="227"/>
      <c r="C45" s="301"/>
      <c r="D45" s="16" t="s">
        <v>21</v>
      </c>
      <c r="E45" s="88">
        <v>180</v>
      </c>
      <c r="F45" s="89">
        <v>0</v>
      </c>
      <c r="G45" s="228">
        <v>0</v>
      </c>
      <c r="H45" s="229">
        <v>0</v>
      </c>
      <c r="I45" s="230"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v>0</v>
      </c>
      <c r="H46" s="229">
        <v>0</v>
      </c>
      <c r="I46" s="230"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>
        <v>0</v>
      </c>
      <c r="G48" s="236">
        <v>0</v>
      </c>
      <c r="H48" s="237">
        <v>0</v>
      </c>
      <c r="I48" s="238"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spans="1:18" x14ac:dyDescent="0.25">
      <c r="A49" s="85"/>
      <c r="B49" s="227"/>
      <c r="C49" s="301"/>
      <c r="D49" s="16" t="s">
        <v>26</v>
      </c>
      <c r="E49" s="88">
        <v>675</v>
      </c>
      <c r="F49" s="89">
        <v>0</v>
      </c>
      <c r="G49" s="228">
        <v>0</v>
      </c>
      <c r="H49" s="229">
        <v>0</v>
      </c>
      <c r="I49" s="230"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v>0</v>
      </c>
      <c r="H50" s="229">
        <v>0</v>
      </c>
      <c r="I50" s="230"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v>0</v>
      </c>
      <c r="H53" s="237">
        <v>0</v>
      </c>
      <c r="I53" s="238"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spans="1:18" x14ac:dyDescent="0.25">
      <c r="A54" s="85"/>
      <c r="B54" s="227"/>
      <c r="C54" s="327"/>
      <c r="D54" s="16" t="s">
        <v>21</v>
      </c>
      <c r="E54" s="88">
        <v>120</v>
      </c>
      <c r="F54" s="89">
        <v>0</v>
      </c>
      <c r="G54" s="228">
        <v>0</v>
      </c>
      <c r="H54" s="229">
        <v>0</v>
      </c>
      <c r="I54" s="230"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v>0</v>
      </c>
      <c r="H55" s="229">
        <v>0</v>
      </c>
      <c r="I55" s="230"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v>0</v>
      </c>
      <c r="H57" s="237">
        <v>0</v>
      </c>
      <c r="I57" s="238"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v>0</v>
      </c>
      <c r="H59" s="229">
        <v>0</v>
      </c>
      <c r="I59" s="230"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v>0</v>
      </c>
      <c r="H62" s="237">
        <v>0</v>
      </c>
      <c r="I62" s="238"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v>0</v>
      </c>
      <c r="H64" s="229">
        <v>0</v>
      </c>
      <c r="I64" s="230"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v>0</v>
      </c>
      <c r="H66" s="237">
        <v>0</v>
      </c>
      <c r="I66" s="238"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v>0</v>
      </c>
      <c r="H68" s="229">
        <v>0</v>
      </c>
      <c r="I68" s="230"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spans="1:18" x14ac:dyDescent="0.25">
      <c r="A71" s="182" t="s">
        <v>45</v>
      </c>
      <c r="B71" s="183"/>
      <c r="C71" s="183"/>
      <c r="D71" s="183"/>
      <c r="E71" s="184"/>
      <c r="F71" s="160">
        <v>0</v>
      </c>
      <c r="G71" s="249">
        <v>0</v>
      </c>
      <c r="H71" s="250">
        <v>0</v>
      </c>
      <c r="I71" s="251"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0</v>
      </c>
      <c r="G72" s="253">
        <v>0</v>
      </c>
      <c r="H72" s="254">
        <v>0</v>
      </c>
      <c r="I72" s="255">
        <v>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-0.8666666666666667</v>
      </c>
      <c r="O72" s="82">
        <f t="shared" si="4"/>
        <v>-0.8538461538461538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v>0</v>
      </c>
      <c r="H73" s="266">
        <v>0</v>
      </c>
      <c r="I73" s="267"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0</v>
      </c>
      <c r="G74" s="265">
        <v>0</v>
      </c>
      <c r="H74" s="266">
        <v>0</v>
      </c>
      <c r="I74" s="267">
        <v>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3</v>
      </c>
      <c r="O74" s="93">
        <f t="shared" si="4"/>
        <v>2.870967741935484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490</v>
      </c>
      <c r="H75" s="259">
        <f>SUM(H72:H74)</f>
        <v>6</v>
      </c>
      <c r="I75" s="260">
        <f>SUM(I72:I74)</f>
        <v>1580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-0.625</v>
      </c>
      <c r="O75" s="102">
        <f t="shared" si="4"/>
        <v>-0.45704467353951894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0</v>
      </c>
      <c r="G76" s="253">
        <v>0</v>
      </c>
      <c r="H76" s="254">
        <v>0</v>
      </c>
      <c r="I76" s="255">
        <v>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-0.2978723404255319</v>
      </c>
      <c r="O76" s="111">
        <f t="shared" si="4"/>
        <v>-0.31444759206798867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0</v>
      </c>
      <c r="G77" s="265">
        <v>0</v>
      </c>
      <c r="H77" s="266">
        <v>0</v>
      </c>
      <c r="I77" s="267">
        <v>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0.02499999999999991</v>
      </c>
      <c r="O77" s="93">
        <f t="shared" si="4"/>
        <v>0.010426540284360186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0</v>
      </c>
      <c r="G78" s="265">
        <v>0</v>
      </c>
      <c r="H78" s="266">
        <v>0</v>
      </c>
      <c r="I78" s="267">
        <v>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24</v>
      </c>
      <c r="G79" s="258">
        <f>SUM(G76:G78)</f>
        <v>11520</v>
      </c>
      <c r="H79" s="259">
        <f>SUM(H76:H78)</f>
        <v>79</v>
      </c>
      <c r="I79" s="260">
        <f>SUM(I76:I78)</f>
        <v>38840</v>
      </c>
      <c r="J79" s="306">
        <f t="shared" si="3"/>
        <v>0.7555555555555555</v>
      </c>
      <c r="K79" s="307">
        <f t="shared" si="3"/>
        <v>0.9478435305917754</v>
      </c>
      <c r="L79" s="145">
        <v>45</v>
      </c>
      <c r="M79" s="144">
        <v>19940</v>
      </c>
      <c r="N79" s="101">
        <f t="shared" si="4"/>
        <v>-0.09195402298850575</v>
      </c>
      <c r="O79" s="102">
        <f t="shared" si="4"/>
        <v>-0.08136234626300853</v>
      </c>
      <c r="P79" s="145">
        <f>SUM(P76:P78)</f>
        <v>87</v>
      </c>
      <c r="Q79" s="144">
        <f>SUM(Q76:Q78)</f>
        <v>42280</v>
      </c>
      <c r="R79" s="275"/>
    </row>
    <row r="80" ht="16.5" customHeight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>
        <v>0</v>
      </c>
      <c r="G80" s="262">
        <v>0</v>
      </c>
      <c r="H80" s="263">
        <v>0</v>
      </c>
      <c r="I80" s="264">
        <v>0</v>
      </c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v>0</v>
      </c>
      <c r="G82" s="276">
        <v>0</v>
      </c>
      <c r="H82" s="277">
        <v>0</v>
      </c>
      <c r="I82" s="278">
        <v>0</v>
      </c>
      <c r="J82" s="316">
        <f t="shared" si="3"/>
        <v>0.8888888888888888</v>
      </c>
      <c r="K82" s="317">
        <f t="shared" si="3"/>
        <v>1.0270812437311934</v>
      </c>
      <c r="L82" s="204">
        <f>L81+L79+L75</f>
        <v>45</v>
      </c>
      <c r="M82" s="205">
        <f>M81+M79+M75</f>
        <v>19940</v>
      </c>
      <c r="N82" s="161">
        <f t="shared" si="4"/>
        <v>-0.1747572815533981</v>
      </c>
      <c r="O82" s="162">
        <f t="shared" si="4"/>
        <v>-0.10555432617835803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v>0</v>
      </c>
      <c r="G83" s="342">
        <v>0</v>
      </c>
      <c r="H83" s="343">
        <v>0</v>
      </c>
      <c r="I83" s="344">
        <v>0</v>
      </c>
      <c r="J83" s="345">
        <f t="shared" si="3"/>
        <v>0.2349397590361446</v>
      </c>
      <c r="K83" s="346">
        <f t="shared" si="3"/>
        <v>0.4026490930444995</v>
      </c>
      <c r="L83" s="341">
        <f>L82+L71+L43+L34</f>
        <v>166</v>
      </c>
      <c r="M83" s="347">
        <f>M82+M71+M43+M34</f>
        <v>76630</v>
      </c>
      <c r="N83" s="348">
        <f t="shared" si="4"/>
        <v>-0.43213296398891965</v>
      </c>
      <c r="O83" s="349">
        <f t="shared" si="4"/>
        <v>-0.3516016166978343</v>
      </c>
      <c r="P83" s="341">
        <f>P82+P71+P43+P34</f>
        <v>361</v>
      </c>
      <c r="Q83" s="347">
        <f>Q82+Q71+Q43+Q34</f>
        <v>165770</v>
      </c>
      <c r="R83" s="357"/>
    </row>
    <row r="84" spans="1:4" x14ac:dyDescent="0.25">
      <c r="A84" s="214" t="s">
        <v>55</v>
      </c>
    </row>
    <row r="85" spans="1:4" x14ac:dyDescent="0.25">
      <c r="A85" s="214" t="s">
        <v>56</v>
      </c>
    </row>
    <row r="86" spans="1:4" x14ac:dyDescent="0.25">
      <c r="A86" s="214" t="s">
        <v>57</v>
      </c>
    </row>
    <row r="87" spans="1:4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0415</vt:lpstr>
      <vt:lpstr>기준</vt:lpstr>
      <vt:lpstr>0416</vt:lpstr>
      <vt:lpstr>0420</vt:lpstr>
      <vt:lpstr>0421</vt:lpstr>
      <vt:lpstr>0423</vt:lpstr>
      <vt:lpstr>0427(동기간추가)</vt:lpstr>
      <vt:lpstr>0429</vt:lpstr>
      <vt:lpstr>0501</vt:lpstr>
      <vt:lpstr>0502</vt:lpstr>
      <vt:lpstr>0504</vt:lpstr>
      <vt:lpstr>0505</vt:lpstr>
      <vt:lpstr>0508</vt:lpstr>
      <vt:lpstr>숨기기확인必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민혁 최</dc:creator>
  <cp:lastModifiedBy>민혁 최</cp:lastModifiedBy>
  <dcterms:created xsi:type="dcterms:W3CDTF">2026-04-15T08:32:53Z</dcterms:created>
  <dcterms:modified xsi:type="dcterms:W3CDTF">2026-05-08T00:35:56Z</dcterms:modified>
</cp:coreProperties>
</file>