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840" activeTab="13"/>
  </bookViews>
  <sheets>
    <sheet sheetId="1088" name="기준" state="visible" r:id="rId4"/>
  </sheets>
  <definedNames>
    <definedName name="_xlnm._FilterDatabase">'기준'!$A$3:$R$104</definedName>
    <definedName name="_xlnm.Print_Area" localSheetId="0">'기준'!$A1:$T124</definedName>
  </definedNames>
  <calcPr calcId="171027" fullCalcOnLoad="1"/>
</workbook>
</file>

<file path=xl/sharedStrings.xml><?xml version="1.0" encoding="utf-8"?>
<sst xmlns="http://schemas.openxmlformats.org/spreadsheetml/2006/main" count="243" uniqueCount="86">
  <si>
    <t>■네이버 세부 정산내역_9/</t>
  </si>
  <si>
    <t>객실단품</t>
  </si>
  <si>
    <t>NO.</t>
  </si>
  <si>
    <t>주문번호</t>
  </si>
  <si>
    <t>상품주문번호</t>
  </si>
  <si>
    <t>구분</t>
  </si>
  <si>
    <t>상품명</t>
  </si>
  <si>
    <t>구매자명</t>
  </si>
  <si>
    <t>정산기준일</t>
  </si>
  <si>
    <t>정산예정일</t>
  </si>
  <si>
    <t>정산완료일</t>
  </si>
  <si>
    <t>세금신고기준일</t>
  </si>
  <si>
    <t>결제금액</t>
  </si>
  <si>
    <t>결제수수료</t>
  </si>
  <si>
    <t>매출연동 수수료(D)</t>
  </si>
  <si>
    <t>매출 연동 수수료 구분</t>
  </si>
  <si>
    <t>무이자할부 수수료</t>
  </si>
  <si>
    <t>정산구분</t>
  </si>
  <si>
    <t>정산예정금액</t>
  </si>
  <si>
    <t>객실취소위약금</t>
  </si>
  <si>
    <t>히든힐스객실</t>
  </si>
  <si>
    <t>히든힐스리프트/장비PKG</t>
  </si>
  <si>
    <t>히든힐스워터PKG</t>
  </si>
  <si>
    <t>히든힐스조식PKG</t>
  </si>
  <si>
    <t>워터플래닛PKG</t>
  </si>
  <si>
    <t>합계</t>
  </si>
  <si>
    <t>☞ 네이버페이 결제내역</t>
  </si>
  <si>
    <t>거래금액</t>
  </si>
  <si>
    <t>수수료</t>
  </si>
  <si>
    <t>부가세</t>
  </si>
  <si>
    <t>수수료계</t>
  </si>
  <si>
    <t>실입금액</t>
  </si>
  <si>
    <t>히든힐스눈놀이PKG</t>
  </si>
  <si>
    <t>計</t>
  </si>
  <si>
    <t>☞ 원가배분</t>
  </si>
  <si>
    <t>객실료</t>
  </si>
  <si>
    <t>히든힐스 객실</t>
  </si>
  <si>
    <t>히든힐스(조식)</t>
  </si>
  <si>
    <t>히든힐스(워터)</t>
  </si>
  <si>
    <t>히든힐스(카바나)</t>
  </si>
  <si>
    <t>눈썰매(히든힐스)</t>
  </si>
  <si>
    <t>관광곤돌라(히든힐스)</t>
  </si>
  <si>
    <t>워터파크</t>
  </si>
  <si>
    <t>☆ 객실 단품</t>
  </si>
  <si>
    <t>☆ 객실 취소위약금</t>
  </si>
  <si>
    <t>☆ 객실특가(객실1박+부대시설이용권4매)</t>
  </si>
  <si>
    <t>부대시설 이용권</t>
  </si>
  <si>
    <t>객실특가</t>
  </si>
  <si>
    <t>☆ 워터파크 패키지</t>
  </si>
  <si>
    <t>☆ 조식뷔페 패키지</t>
  </si>
  <si>
    <t>조식뷔페</t>
  </si>
  <si>
    <t>스노우무무</t>
  </si>
  <si>
    <t>☆ 도시락패키지②</t>
  </si>
  <si>
    <t>☆ 워터플레이</t>
  </si>
  <si>
    <t>곤돌라</t>
  </si>
  <si>
    <t>☆ 루지플레이</t>
  </si>
  <si>
    <t>루지</t>
  </si>
  <si>
    <t>액티비티</t>
  </si>
  <si>
    <t>☆ 스키패키지</t>
  </si>
  <si>
    <t>리프트</t>
  </si>
  <si>
    <t>장비렌탈</t>
  </si>
  <si>
    <t>RFID</t>
  </si>
  <si>
    <t>☆ 올인원패키지</t>
  </si>
  <si>
    <t>의류렌탈</t>
  </si>
  <si>
    <t>☆ Water Planet PKG</t>
  </si>
  <si>
    <t>☆ Water Planet 올인원</t>
  </si>
  <si>
    <t>고카트</t>
  </si>
  <si>
    <t>관광곤돌라</t>
  </si>
  <si>
    <t>☆ 네이버조식패키지</t>
  </si>
  <si>
    <t>☆ 아듀2023라이트PKG</t>
  </si>
  <si>
    <t>눈썰매</t>
  </si>
  <si>
    <t>음료</t>
  </si>
  <si>
    <t>☆ 아듀2023올인원PKG</t>
  </si>
  <si>
    <t>☆ 스키상시패키지</t>
  </si>
  <si>
    <t>☆ 히든힐스객실</t>
  </si>
  <si>
    <t>☆ 히든힐스리프트/장비PKG</t>
  </si>
  <si>
    <t>징비렌탈</t>
  </si>
  <si>
    <t>☆ 히든힐스강습PKG</t>
  </si>
  <si>
    <t>강습</t>
  </si>
  <si>
    <t>☆ 히든힐스눈놀이PKG</t>
  </si>
  <si>
    <t xml:space="preserve">☆ 워터플래닛PKG
</t>
  </si>
  <si>
    <t xml:space="preserve">합계 </t>
  </si>
  <si>
    <t>☆ 히든힐스워터PKG</t>
  </si>
  <si>
    <t>조식</t>
  </si>
  <si>
    <t>카바나</t>
  </si>
  <si>
    <t>☆ 히든힐스조식PKG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</si>
</sst>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_);[Red](0)"/>
    <numFmt numFmtId="165" formatCode="yyyymmdd"/>
    <numFmt numFmtId="166" formatCode="_-* #,##0_-;-* #,##0_-;_-* &quot;-&quot;_-;_-@_-"/>
    <numFmt numFmtId="167" formatCode="_-* #,##0_-;-* #,##0_-;_-* &quot;-&quot;??_-;_-@_-"/>
    <numFmt numFmtId="168" formatCode="0.0%"/>
  </numFmts>
  <fonts count="13" x14ac:knownFonts="1">
    <font>
      <color theme="1"/>
      <family val="2"/>
      <scheme val="minor"/>
      <sz val="11"/>
      <name val="Calibri"/>
    </font>
    <font>
      <charset val="129"/>
      <color indexed="8"/>
      <family val="3"/>
      <sz val="11"/>
      <name val="나눔고딕"/>
    </font>
    <font>
      <b/>
      <charset val="129"/>
      <color indexed="8"/>
      <family val="3"/>
      <sz val="14"/>
      <name val="나눔고딕"/>
    </font>
    <font>
      <charset val="129"/>
      <color indexed="8"/>
      <family val="3"/>
      <sz val="9"/>
      <name val="나눔고딕"/>
    </font>
    <font>
      <b/>
      <charset val="129"/>
      <family val="3"/>
      <sz val="11"/>
      <name val="나눔고딕"/>
    </font>
    <font>
      <color theme="1"/>
      <family val="2"/>
      <scheme val="minor"/>
      <sz val="11"/>
      <name val="맑은 고딕"/>
    </font>
    <font>
      <color indexed="8"/>
      <family val="2"/>
      <scheme val="minor"/>
      <sz val="11"/>
      <name val="맑은 고딕"/>
    </font>
    <font>
      <charset val="129"/>
      <family val="3"/>
      <sz val="9"/>
      <name val="나눔고딕"/>
    </font>
    <font>
      <b/>
      <charset val="129"/>
      <color indexed="8"/>
      <family val="3"/>
      <sz val="11"/>
      <name val="나눔고딕"/>
    </font>
    <font>
      <charset val="129"/>
      <family val="3"/>
      <sz val="11"/>
      <name val="나눔고딕"/>
    </font>
    <font>
      <charset val="129"/>
      <color indexed="8"/>
      <family val="3"/>
      <sz val="10"/>
      <name val="나눔고딕"/>
    </font>
    <font>
      <charset val="129"/>
      <color theme="1"/>
      <family val="3"/>
      <sz val="11"/>
      <name val="나눔고딕"/>
    </font>
    <font>
      <charset val="129"/>
      <color rgb="FFFF0000"/>
      <family val="3"/>
      <sz val="11"/>
      <name val="나눔고딕"/>
    </font>
  </fonts>
  <fills count="9">
    <fill>
      <patternFill patternType="none"/>
    </fill>
    <fill>
      <patternFill patternType="gray125"/>
    </fill>
    <fill>
      <patternFill patternType="none">
        <fgColor indexed="31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/>
      <bottom style="thin"/>
      <diagonal/>
    </border>
    <border>
      <left style="thin">
        <color indexed="64"/>
      </left>
      <right style="thin">
        <color indexed="64"/>
      </right>
      <top style="thin"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/>
    <xf numFmtId="165" fontId="5" fillId="2" borderId="1" xfId="0" applyNumberFormat="1" applyFont="1" applyFill="1" applyBorder="1" applyAlignment="1">
      <alignment horizontal="left" wrapText="1"/>
    </xf>
    <xf numFmtId="166" fontId="6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166" fontId="1" fillId="0" borderId="0" xfId="0" applyNumberFormat="1" applyFont="1" applyAlignment="1">
      <alignment vertical="center"/>
    </xf>
    <xf numFmtId="0" fontId="5" fillId="2" borderId="0" xfId="0" applyFont="1" applyFill="1"/>
    <xf numFmtId="0" fontId="5" fillId="2" borderId="5" xfId="0" applyFont="1" applyFill="1" applyBorder="1"/>
    <xf numFmtId="166" fontId="6" fillId="0" borderId="5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166" fontId="6" fillId="0" borderId="1" xfId="0" applyNumberFormat="1" applyFont="1" applyBorder="1"/>
    <xf numFmtId="0" fontId="7" fillId="0" borderId="1" xfId="0" applyFont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166" fontId="6" fillId="2" borderId="1" xfId="0" applyNumberFormat="1" applyFont="1" applyFill="1" applyBorder="1"/>
    <xf numFmtId="166" fontId="6" fillId="2" borderId="1" xfId="0" applyNumberFormat="1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8" fillId="7" borderId="1" xfId="0" applyNumberFormat="1" applyFont="1" applyFill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6" fontId="9" fillId="2" borderId="1" xfId="0" applyNumberFormat="1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left" vertical="center"/>
    </xf>
    <xf numFmtId="9" fontId="1" fillId="2" borderId="0" xfId="0" applyNumberFormat="1" applyFont="1" applyFill="1" applyAlignment="1">
      <alignment horizontal="center" vertical="center"/>
    </xf>
    <xf numFmtId="166" fontId="11" fillId="5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166" fontId="12" fillId="5" borderId="0" xfId="0" applyNumberFormat="1" applyFont="1" applyFill="1" applyAlignment="1">
      <alignment horizontal="center" vertical="center"/>
    </xf>
    <xf numFmtId="168" fontId="12" fillId="2" borderId="0" xfId="0" applyNumberFormat="1" applyFont="1" applyFill="1" applyAlignment="1">
      <alignment horizontal="center" vertical="center"/>
    </xf>
    <xf numFmtId="9" fontId="1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8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0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45"/>
  <sheetViews>
    <sheetView workbookViewId="0" zoomScale="100" zoomScaleNormal="85" view="pageBreakPreview">
      <selection activeCell="A2" sqref="A2"/>
    </sheetView>
  </sheetViews>
  <sheetFormatPr defaultRowHeight="14.25" outlineLevelRow="0" outlineLevelCol="0" x14ac:dyDescent="0" customHeight="1"/>
  <cols>
    <col min="1" max="1" width="5.25" style="1" customWidth="1"/>
    <col min="2" max="2" width="20.625" style="1" customWidth="1"/>
    <col min="3" max="3" width="20.75" style="1" hidden="1" customWidth="1"/>
    <col min="4" max="6" width="18.125" style="1" customWidth="1"/>
    <col min="7" max="8" width="13.375" style="1" hidden="1" customWidth="1"/>
    <col min="9" max="9" width="18.125" style="1" customWidth="1"/>
    <col min="10" max="10" width="18.125" style="1" hidden="1" customWidth="1"/>
    <col min="11" max="11" width="18.125" style="1" customWidth="1"/>
    <col min="12" max="12" width="10.5" style="1" hidden="1" customWidth="1"/>
    <col min="13" max="13" width="17.875" style="1" hidden="1" customWidth="1"/>
    <col min="14" max="16" width="20" style="1" hidden="1" customWidth="1"/>
    <col min="17" max="20" width="18.125" style="1" customWidth="1"/>
    <col min="21" max="21" width="16" style="2" customWidth="1"/>
    <col min="22" max="22" width="14.375" style="1" customWidth="1"/>
    <col min="23" max="16384" width="9" style="1" customWidth="1"/>
  </cols>
  <sheetData>
    <row r="1" ht="18" customHeight="1" spans="1:2" x14ac:dyDescent="0.25">
      <c r="A1" s="3" t="s">
        <v>0</v>
      </c>
      <c r="B1" s="4"/>
    </row>
    <row r="2" spans="1:21" x14ac:dyDescent="0.25">
      <c r="A2" s="5"/>
      <c r="B2" s="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7" t="s">
        <v>1</v>
      </c>
    </row>
    <row r="3" ht="14.25" customHeight="1" spans="1:21" x14ac:dyDescent="0.25">
      <c r="A3" s="8" t="s">
        <v>2</v>
      </c>
      <c r="B3" s="9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13</v>
      </c>
      <c r="R3" s="8" t="s">
        <v>18</v>
      </c>
      <c r="S3" s="10"/>
      <c r="U3" s="7" t="s">
        <v>19</v>
      </c>
    </row>
    <row r="4" ht="14.25" customHeight="1" spans="1:21" x14ac:dyDescent="0.25">
      <c r="A4" s="11">
        <v>1</v>
      </c>
      <c r="B4" s="12"/>
      <c r="C4" s="13"/>
      <c r="D4" s="14"/>
      <c r="E4" s="15"/>
      <c r="F4" s="16"/>
      <c r="G4" s="17"/>
      <c r="H4" s="17"/>
      <c r="I4" s="17"/>
      <c r="J4" s="17"/>
      <c r="K4" s="16"/>
      <c r="L4" s="13"/>
      <c r="M4" s="13"/>
      <c r="N4" s="13"/>
      <c r="O4" s="13"/>
      <c r="P4" s="18"/>
      <c r="Q4" s="18">
        <f t="shared" ref="Q4:Q5" si="0">ABS(L4)</f>
        <v>0</v>
      </c>
      <c r="R4" s="19">
        <f t="shared" ref="R4:R5" si="1">K4-Q4</f>
        <v>0</v>
      </c>
      <c r="S4" s="20"/>
      <c r="U4" s="7" t="s">
        <v>20</v>
      </c>
    </row>
    <row r="5" ht="14.25" customHeight="1" spans="1:21" x14ac:dyDescent="0.25">
      <c r="A5" s="11">
        <v>2</v>
      </c>
      <c r="B5" s="21"/>
      <c r="C5" s="21"/>
      <c r="D5" s="22"/>
      <c r="E5" s="15"/>
      <c r="F5" s="16"/>
      <c r="G5" s="17"/>
      <c r="H5" s="17"/>
      <c r="I5" s="17"/>
      <c r="J5" s="17"/>
      <c r="K5" s="16"/>
      <c r="L5" s="21"/>
      <c r="M5" s="21"/>
      <c r="N5" s="21"/>
      <c r="O5" s="21"/>
      <c r="P5" s="23"/>
      <c r="Q5" s="18">
        <f t="shared" si="0"/>
        <v>0</v>
      </c>
      <c r="R5" s="19">
        <f t="shared" si="1"/>
        <v>0</v>
      </c>
      <c r="S5" s="20"/>
      <c r="U5" s="7" t="s">
        <v>21</v>
      </c>
    </row>
    <row r="6" ht="14.25" customHeight="1" spans="1:21" x14ac:dyDescent="0.25">
      <c r="A6" s="11">
        <v>3</v>
      </c>
      <c r="B6" s="24"/>
      <c r="C6" s="25"/>
      <c r="D6" s="26"/>
      <c r="E6" s="15"/>
      <c r="F6" s="26"/>
      <c r="G6" s="25"/>
      <c r="H6" s="25"/>
      <c r="I6" s="25"/>
      <c r="J6" s="25"/>
      <c r="K6" s="27"/>
      <c r="L6" s="28"/>
      <c r="M6" s="29"/>
      <c r="N6" s="27"/>
      <c r="O6" s="27"/>
      <c r="P6" s="18"/>
      <c r="Q6" s="18">
        <f t="shared" ref="Q6:Q67" si="2">ABS(L6)</f>
        <v>0</v>
      </c>
      <c r="R6" s="19">
        <f t="shared" ref="R6:R67" si="3">K6-Q6</f>
        <v>0</v>
      </c>
      <c r="S6" s="20"/>
      <c r="U6" s="7" t="s">
        <v>22</v>
      </c>
    </row>
    <row r="7" ht="14.25" customHeight="1" spans="1:21" x14ac:dyDescent="0.25">
      <c r="A7" s="11">
        <v>4</v>
      </c>
      <c r="B7" s="24"/>
      <c r="C7" s="25"/>
      <c r="D7" s="26"/>
      <c r="E7" s="15"/>
      <c r="F7" s="26"/>
      <c r="G7" s="25"/>
      <c r="H7" s="25"/>
      <c r="I7" s="25"/>
      <c r="J7" s="25"/>
      <c r="K7" s="27"/>
      <c r="L7" s="30"/>
      <c r="M7" s="29"/>
      <c r="N7" s="27"/>
      <c r="O7" s="27"/>
      <c r="P7" s="18"/>
      <c r="Q7" s="18">
        <f t="shared" si="2"/>
        <v>0</v>
      </c>
      <c r="R7" s="19">
        <f t="shared" si="3"/>
        <v>0</v>
      </c>
      <c r="S7" s="20"/>
      <c r="U7" s="7" t="s">
        <v>23</v>
      </c>
    </row>
    <row r="8" ht="14.25" customHeight="1" spans="1:21" x14ac:dyDescent="0.25">
      <c r="A8" s="11">
        <v>5</v>
      </c>
      <c r="B8" s="24"/>
      <c r="C8" s="25"/>
      <c r="D8" s="26"/>
      <c r="E8" s="15"/>
      <c r="F8" s="26"/>
      <c r="G8" s="25"/>
      <c r="H8" s="25"/>
      <c r="I8" s="25"/>
      <c r="J8" s="25"/>
      <c r="K8" s="27"/>
      <c r="L8" s="30"/>
      <c r="M8" s="29"/>
      <c r="N8" s="27"/>
      <c r="O8" s="27"/>
      <c r="P8" s="18"/>
      <c r="Q8" s="18">
        <f t="shared" si="2"/>
        <v>0</v>
      </c>
      <c r="R8" s="19">
        <f t="shared" si="3"/>
        <v>0</v>
      </c>
      <c r="S8" s="20"/>
      <c r="U8" s="7" t="s">
        <v>24</v>
      </c>
    </row>
    <row r="9" ht="14.25" customHeight="1" spans="1:19" x14ac:dyDescent="0.25">
      <c r="A9" s="11">
        <v>6</v>
      </c>
      <c r="B9" s="24"/>
      <c r="C9" s="25"/>
      <c r="D9" s="26"/>
      <c r="E9" s="15"/>
      <c r="F9" s="26"/>
      <c r="G9" s="25"/>
      <c r="H9" s="25"/>
      <c r="I9" s="25"/>
      <c r="J9" s="25"/>
      <c r="K9" s="27"/>
      <c r="L9" s="30"/>
      <c r="M9" s="29"/>
      <c r="N9" s="27"/>
      <c r="O9" s="27"/>
      <c r="P9" s="18"/>
      <c r="Q9" s="18">
        <f t="shared" si="2"/>
        <v>0</v>
      </c>
      <c r="R9" s="19">
        <f t="shared" si="3"/>
        <v>0</v>
      </c>
      <c r="S9" s="20"/>
    </row>
    <row r="10" ht="14.25" customHeight="1" spans="1:19" x14ac:dyDescent="0.25">
      <c r="A10" s="11">
        <v>7</v>
      </c>
      <c r="B10" s="24"/>
      <c r="C10" s="25"/>
      <c r="D10" s="26"/>
      <c r="E10" s="15"/>
      <c r="F10" s="26"/>
      <c r="G10" s="25"/>
      <c r="H10" s="25"/>
      <c r="I10" s="25"/>
      <c r="J10" s="25"/>
      <c r="K10" s="27"/>
      <c r="L10" s="30"/>
      <c r="M10" s="29"/>
      <c r="N10" s="27"/>
      <c r="O10" s="27"/>
      <c r="P10" s="18"/>
      <c r="Q10" s="18">
        <f t="shared" si="2"/>
        <v>0</v>
      </c>
      <c r="R10" s="19">
        <f t="shared" si="3"/>
        <v>0</v>
      </c>
      <c r="S10" s="20"/>
    </row>
    <row r="11" ht="14.25" customHeight="1" spans="1:19" x14ac:dyDescent="0.25">
      <c r="A11" s="11">
        <v>8</v>
      </c>
      <c r="B11" s="24"/>
      <c r="C11" s="25"/>
      <c r="D11" s="26"/>
      <c r="E11" s="15"/>
      <c r="F11" s="26"/>
      <c r="G11" s="25"/>
      <c r="H11" s="25"/>
      <c r="I11" s="25"/>
      <c r="J11" s="25"/>
      <c r="K11" s="27"/>
      <c r="L11" s="30"/>
      <c r="M11" s="29"/>
      <c r="N11" s="27"/>
      <c r="O11" s="27"/>
      <c r="P11" s="18"/>
      <c r="Q11" s="18">
        <f t="shared" si="2"/>
        <v>0</v>
      </c>
      <c r="R11" s="19">
        <f t="shared" si="3"/>
        <v>0</v>
      </c>
      <c r="S11" s="20"/>
    </row>
    <row r="12" ht="14.25" customHeight="1" spans="1:19" x14ac:dyDescent="0.25">
      <c r="A12" s="11">
        <v>9</v>
      </c>
      <c r="B12" s="24"/>
      <c r="C12" s="25"/>
      <c r="D12" s="26"/>
      <c r="E12" s="15"/>
      <c r="F12" s="26"/>
      <c r="G12" s="25"/>
      <c r="H12" s="25"/>
      <c r="I12" s="25"/>
      <c r="J12" s="25"/>
      <c r="K12" s="27"/>
      <c r="L12" s="30"/>
      <c r="M12" s="29"/>
      <c r="N12" s="27"/>
      <c r="O12" s="27"/>
      <c r="P12" s="18"/>
      <c r="Q12" s="18">
        <f t="shared" si="2"/>
        <v>0</v>
      </c>
      <c r="R12" s="19">
        <f t="shared" si="3"/>
        <v>0</v>
      </c>
      <c r="S12" s="20"/>
    </row>
    <row r="13" ht="14.25" customHeight="1" spans="1:19" x14ac:dyDescent="0.25">
      <c r="A13" s="11">
        <v>10</v>
      </c>
      <c r="B13" s="24"/>
      <c r="C13" s="25"/>
      <c r="D13" s="26"/>
      <c r="E13" s="15"/>
      <c r="F13" s="26"/>
      <c r="G13" s="25"/>
      <c r="H13" s="25"/>
      <c r="I13" s="25"/>
      <c r="J13" s="25"/>
      <c r="K13" s="27"/>
      <c r="L13" s="30"/>
      <c r="M13" s="29"/>
      <c r="N13" s="27"/>
      <c r="O13" s="27"/>
      <c r="P13" s="18"/>
      <c r="Q13" s="18">
        <f t="shared" si="2"/>
        <v>0</v>
      </c>
      <c r="R13" s="19">
        <f>K13-Q13</f>
        <v>0</v>
      </c>
      <c r="S13" s="20"/>
    </row>
    <row r="14" ht="14.25" customHeight="1" spans="1:19" x14ac:dyDescent="0.25">
      <c r="A14" s="11">
        <v>11</v>
      </c>
      <c r="B14" s="24"/>
      <c r="C14" s="25"/>
      <c r="D14" s="26"/>
      <c r="E14" s="15"/>
      <c r="F14" s="26"/>
      <c r="G14" s="25"/>
      <c r="H14" s="25"/>
      <c r="I14" s="25"/>
      <c r="J14" s="25"/>
      <c r="K14" s="27"/>
      <c r="L14" s="30"/>
      <c r="M14" s="29"/>
      <c r="N14" s="27"/>
      <c r="O14" s="27"/>
      <c r="P14" s="18"/>
      <c r="Q14" s="18">
        <f t="shared" si="2"/>
        <v>0</v>
      </c>
      <c r="R14" s="19">
        <f t="shared" si="3"/>
        <v>0</v>
      </c>
      <c r="S14" s="20"/>
    </row>
    <row r="15" ht="12.75" customHeight="1" spans="1:19" x14ac:dyDescent="0.25">
      <c r="A15" s="11">
        <v>12</v>
      </c>
      <c r="B15" s="24"/>
      <c r="C15" s="25"/>
      <c r="D15" s="26"/>
      <c r="E15" s="15"/>
      <c r="F15" s="26"/>
      <c r="G15" s="25"/>
      <c r="H15" s="25"/>
      <c r="I15" s="25"/>
      <c r="J15" s="25"/>
      <c r="K15" s="27"/>
      <c r="L15" s="30"/>
      <c r="M15" s="29"/>
      <c r="N15" s="27"/>
      <c r="O15" s="27"/>
      <c r="P15" s="18"/>
      <c r="Q15" s="18">
        <f t="shared" si="2"/>
        <v>0</v>
      </c>
      <c r="R15" s="19">
        <f t="shared" si="3"/>
        <v>0</v>
      </c>
      <c r="S15" s="20"/>
    </row>
    <row r="16" ht="14.25" customHeight="1" spans="1:19" x14ac:dyDescent="0.25">
      <c r="A16" s="11">
        <v>13</v>
      </c>
      <c r="B16" s="24"/>
      <c r="C16" s="25"/>
      <c r="D16" s="26"/>
      <c r="E16" s="15"/>
      <c r="F16" s="26"/>
      <c r="G16" s="25"/>
      <c r="H16" s="25"/>
      <c r="I16" s="25"/>
      <c r="J16" s="25"/>
      <c r="K16" s="27"/>
      <c r="L16" s="30"/>
      <c r="M16" s="29"/>
      <c r="N16" s="27"/>
      <c r="O16" s="27"/>
      <c r="P16" s="18"/>
      <c r="Q16" s="18">
        <f t="shared" si="2"/>
        <v>0</v>
      </c>
      <c r="R16" s="19">
        <f t="shared" si="3"/>
        <v>0</v>
      </c>
      <c r="S16" s="20"/>
    </row>
    <row r="17" ht="14.25" customHeight="1" spans="1:19" x14ac:dyDescent="0.25">
      <c r="A17" s="11">
        <v>14</v>
      </c>
      <c r="B17" s="24"/>
      <c r="C17" s="25"/>
      <c r="D17" s="26"/>
      <c r="E17" s="15"/>
      <c r="F17" s="26"/>
      <c r="G17" s="25"/>
      <c r="H17" s="25"/>
      <c r="I17" s="25"/>
      <c r="J17" s="25"/>
      <c r="K17" s="27"/>
      <c r="L17" s="30"/>
      <c r="M17" s="29"/>
      <c r="N17" s="27"/>
      <c r="O17" s="27"/>
      <c r="P17" s="18"/>
      <c r="Q17" s="18">
        <f t="shared" si="2"/>
        <v>0</v>
      </c>
      <c r="R17" s="19">
        <f t="shared" si="3"/>
        <v>0</v>
      </c>
      <c r="S17" s="20"/>
    </row>
    <row r="18" ht="14.25" customHeight="1" spans="1:19" x14ac:dyDescent="0.25">
      <c r="A18" s="11">
        <v>15</v>
      </c>
      <c r="B18" s="24"/>
      <c r="C18" s="25"/>
      <c r="D18" s="26"/>
      <c r="E18" s="15"/>
      <c r="F18" s="26"/>
      <c r="G18" s="25"/>
      <c r="H18" s="25"/>
      <c r="I18" s="25"/>
      <c r="J18" s="25"/>
      <c r="K18" s="27"/>
      <c r="L18" s="30"/>
      <c r="M18" s="29"/>
      <c r="N18" s="27"/>
      <c r="O18" s="27"/>
      <c r="P18" s="18"/>
      <c r="Q18" s="18">
        <f t="shared" si="2"/>
        <v>0</v>
      </c>
      <c r="R18" s="19">
        <f t="shared" si="3"/>
        <v>0</v>
      </c>
      <c r="S18" s="20"/>
    </row>
    <row r="19" ht="14.25" customHeight="1" spans="1:19" x14ac:dyDescent="0.25">
      <c r="A19" s="11">
        <v>16</v>
      </c>
      <c r="B19" s="24"/>
      <c r="C19" s="25"/>
      <c r="D19" s="26"/>
      <c r="E19" s="15"/>
      <c r="F19" s="26"/>
      <c r="G19" s="25"/>
      <c r="H19" s="25"/>
      <c r="I19" s="25"/>
      <c r="J19" s="25"/>
      <c r="K19" s="27"/>
      <c r="L19" s="30"/>
      <c r="M19" s="29"/>
      <c r="N19" s="27"/>
      <c r="O19" s="27"/>
      <c r="P19" s="18"/>
      <c r="Q19" s="18">
        <f t="shared" si="2"/>
        <v>0</v>
      </c>
      <c r="R19" s="19">
        <f t="shared" si="3"/>
        <v>0</v>
      </c>
      <c r="S19" s="20"/>
    </row>
    <row r="20" ht="14.25" customHeight="1" spans="1:19" x14ac:dyDescent="0.25">
      <c r="A20" s="11">
        <v>17</v>
      </c>
      <c r="B20" s="24"/>
      <c r="C20" s="25"/>
      <c r="D20" s="26"/>
      <c r="E20" s="15"/>
      <c r="F20" s="26"/>
      <c r="G20" s="25"/>
      <c r="H20" s="25"/>
      <c r="I20" s="25"/>
      <c r="J20" s="25"/>
      <c r="K20" s="27"/>
      <c r="L20" s="30"/>
      <c r="M20" s="29"/>
      <c r="N20" s="27"/>
      <c r="O20" s="27"/>
      <c r="P20" s="18"/>
      <c r="Q20" s="18">
        <f t="shared" si="2"/>
        <v>0</v>
      </c>
      <c r="R20" s="19">
        <f t="shared" si="3"/>
        <v>0</v>
      </c>
      <c r="S20" s="20"/>
    </row>
    <row r="21" ht="14.25" customHeight="1" spans="1:19" x14ac:dyDescent="0.25">
      <c r="A21" s="11">
        <v>18</v>
      </c>
      <c r="B21" s="24"/>
      <c r="C21" s="25"/>
      <c r="D21" s="25"/>
      <c r="E21" s="15"/>
      <c r="F21" s="25"/>
      <c r="G21" s="25"/>
      <c r="H21" s="25"/>
      <c r="I21" s="25"/>
      <c r="J21" s="25"/>
      <c r="K21" s="27"/>
      <c r="L21" s="29"/>
      <c r="M21" s="29"/>
      <c r="N21" s="27"/>
      <c r="O21" s="27"/>
      <c r="P21" s="18"/>
      <c r="Q21" s="18">
        <f t="shared" si="2"/>
        <v>0</v>
      </c>
      <c r="R21" s="19">
        <f t="shared" si="3"/>
        <v>0</v>
      </c>
      <c r="S21" s="20"/>
    </row>
    <row r="22" ht="14.25" customHeight="1" spans="1:19" x14ac:dyDescent="0.25">
      <c r="A22" s="11">
        <v>19</v>
      </c>
      <c r="B22" s="24"/>
      <c r="C22" s="25"/>
      <c r="D22" s="25"/>
      <c r="E22" s="15"/>
      <c r="F22" s="25"/>
      <c r="G22" s="25"/>
      <c r="H22" s="25"/>
      <c r="I22" s="25"/>
      <c r="J22" s="31"/>
      <c r="K22" s="32"/>
      <c r="L22" s="32"/>
      <c r="M22" s="32"/>
      <c r="N22" s="18"/>
      <c r="O22" s="18"/>
      <c r="P22" s="18"/>
      <c r="Q22" s="18">
        <f t="shared" si="2"/>
        <v>0</v>
      </c>
      <c r="R22" s="19">
        <f t="shared" si="3"/>
        <v>0</v>
      </c>
      <c r="S22" s="20"/>
    </row>
    <row r="23" ht="14.25" customHeight="1" spans="1:19" x14ac:dyDescent="0.25">
      <c r="A23" s="11">
        <v>20</v>
      </c>
      <c r="B23" s="24"/>
      <c r="C23" s="25"/>
      <c r="D23" s="25"/>
      <c r="E23" s="15"/>
      <c r="F23" s="25"/>
      <c r="G23" s="25"/>
      <c r="H23" s="25"/>
      <c r="I23" s="25"/>
      <c r="J23" s="31"/>
      <c r="K23" s="32"/>
      <c r="L23" s="32"/>
      <c r="M23" s="32"/>
      <c r="N23" s="18"/>
      <c r="O23" s="18"/>
      <c r="P23" s="18"/>
      <c r="Q23" s="18">
        <f t="shared" si="2"/>
        <v>0</v>
      </c>
      <c r="R23" s="19">
        <f t="shared" si="3"/>
        <v>0</v>
      </c>
      <c r="S23" s="20"/>
    </row>
    <row r="24" ht="14.25" customHeight="1" hidden="1" spans="1:19" x14ac:dyDescent="0.25">
      <c r="A24" s="11">
        <v>21</v>
      </c>
      <c r="B24" s="24"/>
      <c r="C24" s="25"/>
      <c r="D24" s="25"/>
      <c r="E24" s="15"/>
      <c r="F24" s="25"/>
      <c r="G24" s="25"/>
      <c r="H24" s="25"/>
      <c r="I24" s="25"/>
      <c r="J24" s="31"/>
      <c r="K24" s="32"/>
      <c r="L24" s="32"/>
      <c r="M24" s="32"/>
      <c r="N24" s="18"/>
      <c r="O24" s="18"/>
      <c r="P24" s="18"/>
      <c r="Q24" s="18">
        <f t="shared" si="2"/>
        <v>0</v>
      </c>
      <c r="R24" s="19">
        <f t="shared" si="3"/>
        <v>0</v>
      </c>
      <c r="S24" s="20"/>
    </row>
    <row r="25" ht="14.25" customHeight="1" hidden="1" spans="1:19" x14ac:dyDescent="0.25">
      <c r="A25" s="11">
        <v>22</v>
      </c>
      <c r="B25" s="24"/>
      <c r="C25" s="25"/>
      <c r="D25" s="25"/>
      <c r="E25" s="15"/>
      <c r="F25" s="25"/>
      <c r="G25" s="25"/>
      <c r="H25" s="25"/>
      <c r="I25" s="25"/>
      <c r="J25" s="31"/>
      <c r="K25" s="32"/>
      <c r="L25" s="32"/>
      <c r="M25" s="32"/>
      <c r="N25" s="18"/>
      <c r="O25" s="18"/>
      <c r="P25" s="18"/>
      <c r="Q25" s="18">
        <f t="shared" si="2"/>
        <v>0</v>
      </c>
      <c r="R25" s="19">
        <f t="shared" si="3"/>
        <v>0</v>
      </c>
      <c r="S25" s="20"/>
    </row>
    <row r="26" ht="14.25" customHeight="1" hidden="1" spans="1:19" x14ac:dyDescent="0.25">
      <c r="A26" s="11">
        <v>23</v>
      </c>
      <c r="B26" s="24"/>
      <c r="C26" s="25"/>
      <c r="D26" s="25"/>
      <c r="E26" s="15"/>
      <c r="F26" s="25"/>
      <c r="G26" s="25"/>
      <c r="H26" s="25"/>
      <c r="I26" s="25"/>
      <c r="J26" s="31"/>
      <c r="K26" s="32"/>
      <c r="L26" s="32"/>
      <c r="M26" s="32"/>
      <c r="N26" s="18"/>
      <c r="O26" s="18"/>
      <c r="P26" s="18"/>
      <c r="Q26" s="18">
        <f t="shared" si="2"/>
        <v>0</v>
      </c>
      <c r="R26" s="19">
        <f t="shared" si="3"/>
        <v>0</v>
      </c>
      <c r="S26" s="20"/>
    </row>
    <row r="27" ht="14.25" customHeight="1" hidden="1" spans="1:19" x14ac:dyDescent="0.25">
      <c r="A27" s="11">
        <v>24</v>
      </c>
      <c r="B27" s="24"/>
      <c r="C27" s="25"/>
      <c r="D27" s="25"/>
      <c r="E27" s="15"/>
      <c r="F27" s="25"/>
      <c r="G27" s="25"/>
      <c r="H27" s="25"/>
      <c r="I27" s="25"/>
      <c r="J27" s="31"/>
      <c r="K27" s="32"/>
      <c r="L27" s="32"/>
      <c r="M27" s="32"/>
      <c r="N27" s="18"/>
      <c r="O27" s="18"/>
      <c r="P27" s="18"/>
      <c r="Q27" s="18">
        <f t="shared" si="2"/>
        <v>0</v>
      </c>
      <c r="R27" s="19">
        <f t="shared" si="3"/>
        <v>0</v>
      </c>
      <c r="S27" s="20"/>
    </row>
    <row r="28" ht="14.25" customHeight="1" hidden="1" spans="1:19" x14ac:dyDescent="0.25">
      <c r="A28" s="11">
        <v>25</v>
      </c>
      <c r="B28" s="24"/>
      <c r="C28" s="25"/>
      <c r="D28" s="25"/>
      <c r="E28" s="33"/>
      <c r="F28" s="31"/>
      <c r="G28" s="31"/>
      <c r="H28" s="31"/>
      <c r="I28" s="31"/>
      <c r="J28" s="31"/>
      <c r="K28" s="32"/>
      <c r="L28" s="32"/>
      <c r="M28" s="32"/>
      <c r="N28" s="18"/>
      <c r="O28" s="18"/>
      <c r="P28" s="18"/>
      <c r="Q28" s="18">
        <f t="shared" si="2"/>
        <v>0</v>
      </c>
      <c r="R28" s="19">
        <f t="shared" si="3"/>
        <v>0</v>
      </c>
      <c r="S28" s="20"/>
    </row>
    <row r="29" ht="14.25" customHeight="1" hidden="1" spans="1:19" x14ac:dyDescent="0.25">
      <c r="A29" s="11">
        <v>26</v>
      </c>
      <c r="B29" s="24"/>
      <c r="C29" s="25"/>
      <c r="D29" s="25"/>
      <c r="E29" s="33"/>
      <c r="F29" s="31"/>
      <c r="G29" s="31"/>
      <c r="H29" s="31"/>
      <c r="I29" s="31"/>
      <c r="J29" s="31"/>
      <c r="K29" s="32"/>
      <c r="L29" s="32"/>
      <c r="M29" s="32"/>
      <c r="N29" s="18"/>
      <c r="O29" s="18"/>
      <c r="P29" s="18"/>
      <c r="Q29" s="18">
        <f t="shared" si="2"/>
        <v>0</v>
      </c>
      <c r="R29" s="19">
        <f t="shared" si="3"/>
        <v>0</v>
      </c>
      <c r="S29" s="20"/>
    </row>
    <row r="30" ht="14.25" customHeight="1" hidden="1" spans="1:19" x14ac:dyDescent="0.25">
      <c r="A30" s="11">
        <v>27</v>
      </c>
      <c r="B30" s="24"/>
      <c r="C30" s="25"/>
      <c r="D30" s="25"/>
      <c r="E30" s="33"/>
      <c r="F30" s="31"/>
      <c r="G30" s="31"/>
      <c r="H30" s="31"/>
      <c r="I30" s="31"/>
      <c r="J30" s="31"/>
      <c r="K30" s="32"/>
      <c r="L30" s="32"/>
      <c r="M30" s="32"/>
      <c r="N30" s="18"/>
      <c r="O30" s="18"/>
      <c r="P30" s="18"/>
      <c r="Q30" s="18">
        <f t="shared" si="2"/>
        <v>0</v>
      </c>
      <c r="R30" s="19">
        <f t="shared" si="3"/>
        <v>0</v>
      </c>
      <c r="S30" s="20"/>
    </row>
    <row r="31" ht="14.25" customHeight="1" hidden="1" spans="1:19" x14ac:dyDescent="0.25">
      <c r="A31" s="11">
        <v>28</v>
      </c>
      <c r="B31" s="24"/>
      <c r="C31" s="25"/>
      <c r="D31" s="25"/>
      <c r="E31" s="33"/>
      <c r="F31" s="31"/>
      <c r="G31" s="31"/>
      <c r="H31" s="31"/>
      <c r="I31" s="31"/>
      <c r="J31" s="31"/>
      <c r="K31" s="32"/>
      <c r="L31" s="32"/>
      <c r="M31" s="32"/>
      <c r="N31" s="18"/>
      <c r="O31" s="18"/>
      <c r="P31" s="18"/>
      <c r="Q31" s="18">
        <f t="shared" si="2"/>
        <v>0</v>
      </c>
      <c r="R31" s="19">
        <f t="shared" si="3"/>
        <v>0</v>
      </c>
      <c r="S31" s="20"/>
    </row>
    <row r="32" ht="14.25" customHeight="1" hidden="1" spans="1:19" x14ac:dyDescent="0.25">
      <c r="A32" s="11">
        <v>29</v>
      </c>
      <c r="B32" s="24"/>
      <c r="C32" s="25"/>
      <c r="D32" s="25"/>
      <c r="E32" s="33"/>
      <c r="F32" s="31"/>
      <c r="G32" s="31"/>
      <c r="H32" s="31"/>
      <c r="I32" s="31"/>
      <c r="J32" s="31"/>
      <c r="K32" s="32"/>
      <c r="L32" s="32"/>
      <c r="M32" s="32"/>
      <c r="N32" s="18"/>
      <c r="O32" s="18"/>
      <c r="P32" s="18"/>
      <c r="Q32" s="18">
        <f t="shared" si="2"/>
        <v>0</v>
      </c>
      <c r="R32" s="19">
        <f t="shared" si="3"/>
        <v>0</v>
      </c>
      <c r="S32" s="20"/>
    </row>
    <row r="33" ht="14.25" customHeight="1" hidden="1" spans="1:19" x14ac:dyDescent="0.25">
      <c r="A33" s="11">
        <v>30</v>
      </c>
      <c r="B33" s="34"/>
      <c r="C33" s="35"/>
      <c r="D33" s="35"/>
      <c r="E33" s="36"/>
      <c r="F33" s="37"/>
      <c r="G33" s="37"/>
      <c r="H33" s="37"/>
      <c r="I33" s="37"/>
      <c r="J33" s="37"/>
      <c r="K33" s="38"/>
      <c r="L33" s="38"/>
      <c r="M33" s="38"/>
      <c r="N33" s="39"/>
      <c r="O33" s="39"/>
      <c r="P33" s="39"/>
      <c r="Q33" s="39">
        <f t="shared" si="2"/>
        <v>0</v>
      </c>
      <c r="R33" s="40">
        <f t="shared" si="3"/>
        <v>0</v>
      </c>
      <c r="S33" s="20"/>
    </row>
    <row r="34" ht="14.25" customHeight="1" hidden="1" spans="1:19" x14ac:dyDescent="0.25">
      <c r="A34" s="11">
        <v>31</v>
      </c>
      <c r="B34" s="34"/>
      <c r="C34" s="35"/>
      <c r="D34" s="35"/>
      <c r="E34" s="36"/>
      <c r="F34" s="37"/>
      <c r="G34" s="37"/>
      <c r="H34" s="37"/>
      <c r="I34" s="37"/>
      <c r="J34" s="37"/>
      <c r="K34" s="38"/>
      <c r="L34" s="38"/>
      <c r="M34" s="38"/>
      <c r="N34" s="39"/>
      <c r="O34" s="39"/>
      <c r="P34" s="39"/>
      <c r="Q34" s="39">
        <f t="shared" si="2"/>
        <v>0</v>
      </c>
      <c r="R34" s="40">
        <f t="shared" si="3"/>
        <v>0</v>
      </c>
      <c r="S34" s="20"/>
    </row>
    <row r="35" ht="14.25" customHeight="1" hidden="1" spans="1:19" x14ac:dyDescent="0.25">
      <c r="A35" s="11">
        <v>32</v>
      </c>
      <c r="B35" s="34"/>
      <c r="C35" s="35"/>
      <c r="D35" s="35"/>
      <c r="E35" s="36"/>
      <c r="F35" s="37"/>
      <c r="G35" s="37"/>
      <c r="H35" s="37"/>
      <c r="I35" s="37"/>
      <c r="J35" s="37"/>
      <c r="K35" s="38"/>
      <c r="L35" s="38"/>
      <c r="M35" s="38"/>
      <c r="N35" s="39"/>
      <c r="O35" s="39"/>
      <c r="P35" s="39"/>
      <c r="Q35" s="39">
        <f t="shared" si="2"/>
        <v>0</v>
      </c>
      <c r="R35" s="40">
        <f t="shared" si="3"/>
        <v>0</v>
      </c>
      <c r="S35" s="20"/>
    </row>
    <row r="36" ht="14.25" customHeight="1" hidden="1" spans="1:19" x14ac:dyDescent="0.25">
      <c r="A36" s="11">
        <v>33</v>
      </c>
      <c r="B36" s="34"/>
      <c r="C36" s="35"/>
      <c r="D36" s="35"/>
      <c r="E36" s="36"/>
      <c r="F36" s="37"/>
      <c r="G36" s="37"/>
      <c r="H36" s="37"/>
      <c r="I36" s="37"/>
      <c r="J36" s="37"/>
      <c r="K36" s="38"/>
      <c r="L36" s="38"/>
      <c r="M36" s="38"/>
      <c r="N36" s="39"/>
      <c r="O36" s="39"/>
      <c r="P36" s="39"/>
      <c r="Q36" s="39">
        <f t="shared" si="2"/>
        <v>0</v>
      </c>
      <c r="R36" s="40">
        <f t="shared" si="3"/>
        <v>0</v>
      </c>
      <c r="S36" s="20"/>
    </row>
    <row r="37" ht="14.25" customHeight="1" hidden="1" spans="1:19" x14ac:dyDescent="0.25">
      <c r="A37" s="11">
        <v>34</v>
      </c>
      <c r="B37" s="34"/>
      <c r="C37" s="35"/>
      <c r="D37" s="35"/>
      <c r="E37" s="36"/>
      <c r="F37" s="37"/>
      <c r="G37" s="37"/>
      <c r="H37" s="37"/>
      <c r="I37" s="37"/>
      <c r="J37" s="37"/>
      <c r="K37" s="38"/>
      <c r="L37" s="38"/>
      <c r="M37" s="38"/>
      <c r="N37" s="39"/>
      <c r="O37" s="39"/>
      <c r="P37" s="39"/>
      <c r="Q37" s="39">
        <f t="shared" si="2"/>
        <v>0</v>
      </c>
      <c r="R37" s="40">
        <f t="shared" si="3"/>
        <v>0</v>
      </c>
      <c r="S37" s="20"/>
    </row>
    <row r="38" ht="14.25" customHeight="1" hidden="1" spans="1:19" x14ac:dyDescent="0.25">
      <c r="A38" s="11">
        <v>35</v>
      </c>
      <c r="B38" s="34"/>
      <c r="C38" s="35"/>
      <c r="D38" s="35"/>
      <c r="E38" s="36"/>
      <c r="F38" s="37"/>
      <c r="G38" s="37"/>
      <c r="H38" s="37"/>
      <c r="I38" s="37"/>
      <c r="J38" s="37"/>
      <c r="K38" s="38"/>
      <c r="L38" s="38"/>
      <c r="M38" s="38"/>
      <c r="N38" s="39"/>
      <c r="O38" s="39"/>
      <c r="P38" s="39"/>
      <c r="Q38" s="39">
        <f t="shared" si="2"/>
        <v>0</v>
      </c>
      <c r="R38" s="40">
        <f t="shared" si="3"/>
        <v>0</v>
      </c>
      <c r="S38" s="20"/>
    </row>
    <row r="39" ht="14.25" customHeight="1" hidden="1" spans="1:19" x14ac:dyDescent="0.25">
      <c r="A39" s="11">
        <v>36</v>
      </c>
      <c r="B39" s="34"/>
      <c r="C39" s="35"/>
      <c r="D39" s="35"/>
      <c r="E39" s="36"/>
      <c r="F39" s="37"/>
      <c r="G39" s="37"/>
      <c r="H39" s="37"/>
      <c r="I39" s="37"/>
      <c r="J39" s="37"/>
      <c r="K39" s="38"/>
      <c r="L39" s="38"/>
      <c r="M39" s="38"/>
      <c r="N39" s="39"/>
      <c r="O39" s="39"/>
      <c r="P39" s="39"/>
      <c r="Q39" s="39">
        <f t="shared" si="2"/>
        <v>0</v>
      </c>
      <c r="R39" s="40">
        <f t="shared" si="3"/>
        <v>0</v>
      </c>
      <c r="S39" s="20"/>
    </row>
    <row r="40" ht="14.25" customHeight="1" hidden="1" spans="1:19" x14ac:dyDescent="0.25">
      <c r="A40" s="11">
        <v>37</v>
      </c>
      <c r="B40" s="34"/>
      <c r="C40" s="35"/>
      <c r="D40" s="35"/>
      <c r="E40" s="36"/>
      <c r="F40" s="37"/>
      <c r="G40" s="37"/>
      <c r="H40" s="37"/>
      <c r="I40" s="37"/>
      <c r="J40" s="37"/>
      <c r="K40" s="38"/>
      <c r="L40" s="38"/>
      <c r="M40" s="38"/>
      <c r="N40" s="39"/>
      <c r="O40" s="39"/>
      <c r="P40" s="39"/>
      <c r="Q40" s="39">
        <f t="shared" si="2"/>
        <v>0</v>
      </c>
      <c r="R40" s="40">
        <f t="shared" si="3"/>
        <v>0</v>
      </c>
      <c r="S40" s="20"/>
    </row>
    <row r="41" ht="14.25" customHeight="1" hidden="1" spans="1:19" x14ac:dyDescent="0.25">
      <c r="A41" s="11">
        <v>38</v>
      </c>
      <c r="B41" s="34"/>
      <c r="C41" s="35"/>
      <c r="D41" s="35"/>
      <c r="E41" s="36"/>
      <c r="F41" s="37"/>
      <c r="G41" s="37"/>
      <c r="H41" s="37"/>
      <c r="I41" s="37"/>
      <c r="J41" s="37"/>
      <c r="K41" s="38"/>
      <c r="L41" s="38"/>
      <c r="M41" s="38"/>
      <c r="N41" s="39"/>
      <c r="O41" s="39"/>
      <c r="P41" s="39"/>
      <c r="Q41" s="39">
        <f t="shared" si="2"/>
        <v>0</v>
      </c>
      <c r="R41" s="40">
        <f t="shared" si="3"/>
        <v>0</v>
      </c>
      <c r="S41" s="20"/>
    </row>
    <row r="42" ht="14.25" customHeight="1" hidden="1" spans="1:19" x14ac:dyDescent="0.25">
      <c r="A42" s="11">
        <v>39</v>
      </c>
      <c r="B42" s="34"/>
      <c r="C42" s="35"/>
      <c r="D42" s="35"/>
      <c r="E42" s="36"/>
      <c r="F42" s="37"/>
      <c r="G42" s="37"/>
      <c r="H42" s="37"/>
      <c r="I42" s="37"/>
      <c r="J42" s="37"/>
      <c r="K42" s="38"/>
      <c r="L42" s="38"/>
      <c r="M42" s="38"/>
      <c r="N42" s="39"/>
      <c r="O42" s="39"/>
      <c r="P42" s="39"/>
      <c r="Q42" s="39">
        <f t="shared" si="2"/>
        <v>0</v>
      </c>
      <c r="R42" s="40">
        <f t="shared" si="3"/>
        <v>0</v>
      </c>
      <c r="S42" s="20"/>
    </row>
    <row r="43" ht="14.25" customHeight="1" hidden="1" spans="1:19" x14ac:dyDescent="0.25">
      <c r="A43" s="11">
        <v>40</v>
      </c>
      <c r="B43" s="34"/>
      <c r="C43" s="35"/>
      <c r="D43" s="35"/>
      <c r="E43" s="36"/>
      <c r="F43" s="37"/>
      <c r="G43" s="37"/>
      <c r="H43" s="37"/>
      <c r="I43" s="37"/>
      <c r="J43" s="37"/>
      <c r="K43" s="38"/>
      <c r="L43" s="38"/>
      <c r="M43" s="38"/>
      <c r="N43" s="39"/>
      <c r="O43" s="39"/>
      <c r="P43" s="39"/>
      <c r="Q43" s="39">
        <f t="shared" si="2"/>
        <v>0</v>
      </c>
      <c r="R43" s="40">
        <f t="shared" si="3"/>
        <v>0</v>
      </c>
      <c r="S43" s="20"/>
    </row>
    <row r="44" ht="14.25" customHeight="1" hidden="1" spans="1:19" x14ac:dyDescent="0.25">
      <c r="A44" s="11">
        <v>41</v>
      </c>
      <c r="B44" s="34"/>
      <c r="C44" s="35"/>
      <c r="D44" s="35"/>
      <c r="E44" s="36"/>
      <c r="F44" s="37"/>
      <c r="G44" s="37"/>
      <c r="H44" s="37"/>
      <c r="I44" s="37"/>
      <c r="J44" s="37"/>
      <c r="K44" s="38"/>
      <c r="L44" s="38"/>
      <c r="M44" s="38"/>
      <c r="N44" s="39"/>
      <c r="O44" s="39"/>
      <c r="P44" s="39"/>
      <c r="Q44" s="39">
        <f t="shared" si="2"/>
        <v>0</v>
      </c>
      <c r="R44" s="40">
        <f t="shared" si="3"/>
        <v>0</v>
      </c>
      <c r="S44" s="20"/>
    </row>
    <row r="45" ht="14.25" customHeight="1" hidden="1" spans="1:19" x14ac:dyDescent="0.25">
      <c r="A45" s="11">
        <v>42</v>
      </c>
      <c r="B45" s="34"/>
      <c r="C45" s="35"/>
      <c r="D45" s="35"/>
      <c r="E45" s="36"/>
      <c r="F45" s="37"/>
      <c r="G45" s="37"/>
      <c r="H45" s="37"/>
      <c r="I45" s="37"/>
      <c r="J45" s="37"/>
      <c r="K45" s="38"/>
      <c r="L45" s="38"/>
      <c r="M45" s="38"/>
      <c r="N45" s="39"/>
      <c r="O45" s="39"/>
      <c r="P45" s="39"/>
      <c r="Q45" s="39">
        <f t="shared" si="2"/>
        <v>0</v>
      </c>
      <c r="R45" s="40">
        <f t="shared" si="3"/>
        <v>0</v>
      </c>
      <c r="S45" s="20"/>
    </row>
    <row r="46" ht="14.25" customHeight="1" hidden="1" spans="1:19" x14ac:dyDescent="0.25">
      <c r="A46" s="11">
        <v>43</v>
      </c>
      <c r="B46" s="34"/>
      <c r="C46" s="35"/>
      <c r="D46" s="35"/>
      <c r="E46" s="36"/>
      <c r="F46" s="37"/>
      <c r="G46" s="37"/>
      <c r="H46" s="37"/>
      <c r="I46" s="37"/>
      <c r="J46" s="37"/>
      <c r="K46" s="38"/>
      <c r="L46" s="38"/>
      <c r="M46" s="38"/>
      <c r="N46" s="39"/>
      <c r="O46" s="39"/>
      <c r="P46" s="39"/>
      <c r="Q46" s="39">
        <f t="shared" si="2"/>
        <v>0</v>
      </c>
      <c r="R46" s="40">
        <f t="shared" si="3"/>
        <v>0</v>
      </c>
      <c r="S46" s="20"/>
    </row>
    <row r="47" ht="14.25" customHeight="1" hidden="1" spans="1:19" x14ac:dyDescent="0.25">
      <c r="A47" s="11">
        <v>44</v>
      </c>
      <c r="B47" s="34"/>
      <c r="C47" s="35"/>
      <c r="D47" s="35"/>
      <c r="E47" s="36"/>
      <c r="F47" s="37"/>
      <c r="G47" s="37"/>
      <c r="H47" s="37"/>
      <c r="I47" s="37"/>
      <c r="J47" s="37"/>
      <c r="K47" s="38"/>
      <c r="L47" s="38"/>
      <c r="M47" s="38"/>
      <c r="N47" s="39"/>
      <c r="O47" s="39"/>
      <c r="P47" s="39"/>
      <c r="Q47" s="39">
        <f t="shared" si="2"/>
        <v>0</v>
      </c>
      <c r="R47" s="40">
        <f t="shared" si="3"/>
        <v>0</v>
      </c>
      <c r="S47" s="20"/>
    </row>
    <row r="48" ht="14.25" customHeight="1" hidden="1" spans="1:19" x14ac:dyDescent="0.25">
      <c r="A48" s="11">
        <v>45</v>
      </c>
      <c r="B48" s="34"/>
      <c r="C48" s="35"/>
      <c r="D48" s="41"/>
      <c r="E48" s="36"/>
      <c r="F48" s="37"/>
      <c r="G48" s="37"/>
      <c r="H48" s="37"/>
      <c r="I48" s="37"/>
      <c r="J48" s="37"/>
      <c r="K48" s="38"/>
      <c r="L48" s="38"/>
      <c r="M48" s="38"/>
      <c r="N48" s="39"/>
      <c r="O48" s="39"/>
      <c r="P48" s="39"/>
      <c r="Q48" s="39">
        <f t="shared" si="2"/>
        <v>0</v>
      </c>
      <c r="R48" s="40">
        <f t="shared" si="3"/>
        <v>0</v>
      </c>
      <c r="S48" s="20"/>
    </row>
    <row r="49" ht="14.25" customHeight="1" hidden="1" spans="1:19" x14ac:dyDescent="0.25">
      <c r="A49" s="11">
        <v>46</v>
      </c>
      <c r="B49" s="34"/>
      <c r="C49" s="35"/>
      <c r="D49" s="35"/>
      <c r="E49" s="36"/>
      <c r="F49" s="37"/>
      <c r="G49" s="37"/>
      <c r="H49" s="37"/>
      <c r="I49" s="37"/>
      <c r="J49" s="37"/>
      <c r="K49" s="38"/>
      <c r="L49" s="38"/>
      <c r="M49" s="38"/>
      <c r="N49" s="39"/>
      <c r="O49" s="39"/>
      <c r="P49" s="39"/>
      <c r="Q49" s="39">
        <f t="shared" si="2"/>
        <v>0</v>
      </c>
      <c r="R49" s="40">
        <f t="shared" si="3"/>
        <v>0</v>
      </c>
      <c r="S49" s="20"/>
    </row>
    <row r="50" ht="14.25" customHeight="1" hidden="1" spans="1:19" x14ac:dyDescent="0.25">
      <c r="A50" s="11">
        <v>47</v>
      </c>
      <c r="B50" s="34"/>
      <c r="C50" s="35"/>
      <c r="D50" s="35"/>
      <c r="E50" s="36"/>
      <c r="F50" s="37"/>
      <c r="G50" s="37"/>
      <c r="H50" s="37"/>
      <c r="I50" s="37"/>
      <c r="J50" s="37"/>
      <c r="K50" s="38"/>
      <c r="L50" s="38"/>
      <c r="M50" s="38"/>
      <c r="N50" s="39"/>
      <c r="O50" s="39"/>
      <c r="P50" s="39"/>
      <c r="Q50" s="39">
        <f t="shared" si="2"/>
        <v>0</v>
      </c>
      <c r="R50" s="40">
        <f t="shared" si="3"/>
        <v>0</v>
      </c>
      <c r="S50" s="20"/>
    </row>
    <row r="51" ht="14.25" customHeight="1" hidden="1" spans="1:19" x14ac:dyDescent="0.25">
      <c r="A51" s="11">
        <v>48</v>
      </c>
      <c r="B51" s="34"/>
      <c r="C51" s="35"/>
      <c r="D51" s="35"/>
      <c r="E51" s="36"/>
      <c r="F51" s="37"/>
      <c r="G51" s="37"/>
      <c r="H51" s="37"/>
      <c r="I51" s="37"/>
      <c r="J51" s="37"/>
      <c r="K51" s="38"/>
      <c r="L51" s="38"/>
      <c r="M51" s="38"/>
      <c r="N51" s="39"/>
      <c r="O51" s="39"/>
      <c r="P51" s="39"/>
      <c r="Q51" s="39">
        <f t="shared" si="2"/>
        <v>0</v>
      </c>
      <c r="R51" s="40">
        <f t="shared" si="3"/>
        <v>0</v>
      </c>
      <c r="S51" s="20"/>
    </row>
    <row r="52" ht="14.25" customHeight="1" hidden="1" spans="1:19" x14ac:dyDescent="0.25">
      <c r="A52" s="11">
        <v>49</v>
      </c>
      <c r="B52" s="34"/>
      <c r="C52" s="35"/>
      <c r="D52" s="35"/>
      <c r="E52" s="36"/>
      <c r="F52" s="37"/>
      <c r="G52" s="37"/>
      <c r="H52" s="37"/>
      <c r="I52" s="37"/>
      <c r="J52" s="37"/>
      <c r="K52" s="38"/>
      <c r="L52" s="38"/>
      <c r="M52" s="38"/>
      <c r="N52" s="39"/>
      <c r="O52" s="39"/>
      <c r="P52" s="39"/>
      <c r="Q52" s="39">
        <f t="shared" si="2"/>
        <v>0</v>
      </c>
      <c r="R52" s="40">
        <f t="shared" si="3"/>
        <v>0</v>
      </c>
      <c r="S52" s="20"/>
    </row>
    <row r="53" ht="14.25" customHeight="1" hidden="1" spans="1:19" x14ac:dyDescent="0.25">
      <c r="A53" s="11">
        <v>50</v>
      </c>
      <c r="B53" s="34"/>
      <c r="C53" s="35"/>
      <c r="D53" s="35"/>
      <c r="E53" s="36"/>
      <c r="F53" s="37"/>
      <c r="G53" s="37"/>
      <c r="H53" s="37"/>
      <c r="I53" s="37"/>
      <c r="J53" s="37"/>
      <c r="K53" s="38"/>
      <c r="L53" s="38"/>
      <c r="M53" s="38"/>
      <c r="N53" s="39"/>
      <c r="O53" s="39"/>
      <c r="P53" s="39"/>
      <c r="Q53" s="39">
        <f t="shared" si="2"/>
        <v>0</v>
      </c>
      <c r="R53" s="40">
        <f t="shared" si="3"/>
        <v>0</v>
      </c>
      <c r="S53" s="20"/>
    </row>
    <row r="54" ht="14.25" customHeight="1" hidden="1" spans="1:19" x14ac:dyDescent="0.25">
      <c r="A54" s="11">
        <v>51</v>
      </c>
      <c r="B54" s="34"/>
      <c r="C54" s="35"/>
      <c r="D54" s="35"/>
      <c r="E54" s="36"/>
      <c r="F54" s="37"/>
      <c r="G54" s="37"/>
      <c r="H54" s="37"/>
      <c r="I54" s="37"/>
      <c r="J54" s="37"/>
      <c r="K54" s="38"/>
      <c r="L54" s="38"/>
      <c r="M54" s="38"/>
      <c r="N54" s="39"/>
      <c r="O54" s="39"/>
      <c r="P54" s="39"/>
      <c r="Q54" s="39">
        <f t="shared" si="2"/>
        <v>0</v>
      </c>
      <c r="R54" s="40">
        <f t="shared" si="3"/>
        <v>0</v>
      </c>
      <c r="S54" s="20"/>
    </row>
    <row r="55" ht="14.25" customHeight="1" hidden="1" spans="1:19" x14ac:dyDescent="0.25">
      <c r="A55" s="11">
        <v>52</v>
      </c>
      <c r="B55" s="34"/>
      <c r="C55" s="35"/>
      <c r="D55" s="35"/>
      <c r="E55" s="36"/>
      <c r="F55" s="37"/>
      <c r="G55" s="37"/>
      <c r="H55" s="37"/>
      <c r="I55" s="37"/>
      <c r="J55" s="37"/>
      <c r="K55" s="38"/>
      <c r="L55" s="38"/>
      <c r="M55" s="38"/>
      <c r="N55" s="39"/>
      <c r="O55" s="39"/>
      <c r="P55" s="39"/>
      <c r="Q55" s="39">
        <f t="shared" si="2"/>
        <v>0</v>
      </c>
      <c r="R55" s="40">
        <f t="shared" si="3"/>
        <v>0</v>
      </c>
      <c r="S55" s="20"/>
    </row>
    <row r="56" ht="14.25" customHeight="1" hidden="1" spans="1:19" x14ac:dyDescent="0.25">
      <c r="A56" s="11">
        <v>53</v>
      </c>
      <c r="B56" s="34"/>
      <c r="C56" s="35"/>
      <c r="D56" s="35"/>
      <c r="E56" s="36"/>
      <c r="F56" s="37"/>
      <c r="G56" s="37"/>
      <c r="H56" s="37"/>
      <c r="I56" s="37"/>
      <c r="J56" s="37"/>
      <c r="K56" s="38"/>
      <c r="L56" s="38"/>
      <c r="M56" s="38"/>
      <c r="N56" s="39"/>
      <c r="O56" s="39"/>
      <c r="P56" s="39"/>
      <c r="Q56" s="39">
        <f t="shared" si="2"/>
        <v>0</v>
      </c>
      <c r="R56" s="40">
        <f t="shared" si="3"/>
        <v>0</v>
      </c>
      <c r="S56" s="20"/>
    </row>
    <row r="57" ht="14.25" customHeight="1" hidden="1" spans="1:19" x14ac:dyDescent="0.25">
      <c r="A57" s="11">
        <v>54</v>
      </c>
      <c r="B57" s="34"/>
      <c r="C57" s="35"/>
      <c r="D57" s="35"/>
      <c r="E57" s="36"/>
      <c r="F57" s="37"/>
      <c r="G57" s="37"/>
      <c r="H57" s="37"/>
      <c r="I57" s="37"/>
      <c r="J57" s="37"/>
      <c r="K57" s="38"/>
      <c r="L57" s="38"/>
      <c r="M57" s="38"/>
      <c r="N57" s="39"/>
      <c r="O57" s="39"/>
      <c r="P57" s="39"/>
      <c r="Q57" s="39">
        <f t="shared" si="2"/>
        <v>0</v>
      </c>
      <c r="R57" s="40">
        <f t="shared" si="3"/>
        <v>0</v>
      </c>
      <c r="S57" s="20"/>
    </row>
    <row r="58" ht="14.25" customHeight="1" hidden="1" spans="1:19" x14ac:dyDescent="0.25">
      <c r="A58" s="11">
        <v>55</v>
      </c>
      <c r="B58" s="34"/>
      <c r="C58" s="35"/>
      <c r="D58" s="35"/>
      <c r="E58" s="36"/>
      <c r="F58" s="37"/>
      <c r="G58" s="37"/>
      <c r="H58" s="37"/>
      <c r="I58" s="37"/>
      <c r="J58" s="37"/>
      <c r="K58" s="38"/>
      <c r="L58" s="38"/>
      <c r="M58" s="38"/>
      <c r="N58" s="39"/>
      <c r="O58" s="39"/>
      <c r="P58" s="39"/>
      <c r="Q58" s="39">
        <f t="shared" si="2"/>
        <v>0</v>
      </c>
      <c r="R58" s="40">
        <f t="shared" si="3"/>
        <v>0</v>
      </c>
      <c r="S58" s="20"/>
    </row>
    <row r="59" ht="14.25" customHeight="1" hidden="1" spans="1:19" x14ac:dyDescent="0.25">
      <c r="A59" s="11">
        <v>56</v>
      </c>
      <c r="B59" s="34"/>
      <c r="C59" s="35"/>
      <c r="D59" s="35"/>
      <c r="E59" s="36"/>
      <c r="F59" s="37"/>
      <c r="G59" s="37"/>
      <c r="H59" s="37"/>
      <c r="I59" s="37"/>
      <c r="J59" s="37"/>
      <c r="K59" s="38"/>
      <c r="L59" s="38"/>
      <c r="M59" s="38"/>
      <c r="N59" s="39"/>
      <c r="O59" s="39"/>
      <c r="P59" s="39"/>
      <c r="Q59" s="39">
        <f t="shared" si="2"/>
        <v>0</v>
      </c>
      <c r="R59" s="40">
        <f t="shared" si="3"/>
        <v>0</v>
      </c>
      <c r="S59" s="20"/>
    </row>
    <row r="60" ht="14.25" customHeight="1" hidden="1" spans="1:19" x14ac:dyDescent="0.25">
      <c r="A60" s="11">
        <v>57</v>
      </c>
      <c r="B60" s="34"/>
      <c r="C60" s="35"/>
      <c r="D60" s="35"/>
      <c r="E60" s="36"/>
      <c r="F60" s="37"/>
      <c r="G60" s="37"/>
      <c r="H60" s="37"/>
      <c r="I60" s="37"/>
      <c r="J60" s="37"/>
      <c r="K60" s="38"/>
      <c r="L60" s="38"/>
      <c r="M60" s="38"/>
      <c r="N60" s="39"/>
      <c r="O60" s="39"/>
      <c r="P60" s="39"/>
      <c r="Q60" s="39">
        <f t="shared" si="2"/>
        <v>0</v>
      </c>
      <c r="R60" s="40">
        <f t="shared" si="3"/>
        <v>0</v>
      </c>
      <c r="S60" s="20"/>
    </row>
    <row r="61" ht="14.25" customHeight="1" hidden="1" spans="1:19" x14ac:dyDescent="0.25">
      <c r="A61" s="11">
        <v>58</v>
      </c>
      <c r="B61" s="34"/>
      <c r="C61" s="35"/>
      <c r="D61" s="41"/>
      <c r="E61" s="36"/>
      <c r="F61" s="37"/>
      <c r="G61" s="37"/>
      <c r="H61" s="37"/>
      <c r="I61" s="37"/>
      <c r="J61" s="37"/>
      <c r="K61" s="38"/>
      <c r="L61" s="38"/>
      <c r="M61" s="38"/>
      <c r="N61" s="39"/>
      <c r="O61" s="39"/>
      <c r="P61" s="39"/>
      <c r="Q61" s="39">
        <f t="shared" si="2"/>
        <v>0</v>
      </c>
      <c r="R61" s="40">
        <f t="shared" si="3"/>
        <v>0</v>
      </c>
      <c r="S61" s="20"/>
    </row>
    <row r="62" ht="14.25" customHeight="1" hidden="1" spans="1:19" x14ac:dyDescent="0.25">
      <c r="A62" s="11">
        <v>59</v>
      </c>
      <c r="B62" s="34"/>
      <c r="C62" s="35"/>
      <c r="D62" s="35"/>
      <c r="E62" s="36"/>
      <c r="F62" s="37"/>
      <c r="G62" s="37"/>
      <c r="H62" s="37"/>
      <c r="I62" s="37"/>
      <c r="J62" s="37"/>
      <c r="K62" s="38"/>
      <c r="L62" s="38"/>
      <c r="M62" s="38"/>
      <c r="N62" s="39"/>
      <c r="O62" s="39"/>
      <c r="P62" s="39"/>
      <c r="Q62" s="39">
        <f t="shared" si="2"/>
        <v>0</v>
      </c>
      <c r="R62" s="40">
        <f t="shared" si="3"/>
        <v>0</v>
      </c>
      <c r="S62" s="20"/>
    </row>
    <row r="63" ht="14.25" customHeight="1" hidden="1" spans="1:19" x14ac:dyDescent="0.25">
      <c r="A63" s="11">
        <v>60</v>
      </c>
      <c r="B63" s="34"/>
      <c r="C63" s="35"/>
      <c r="D63" s="35"/>
      <c r="E63" s="36"/>
      <c r="F63" s="37"/>
      <c r="G63" s="37"/>
      <c r="H63" s="37"/>
      <c r="I63" s="37"/>
      <c r="J63" s="37"/>
      <c r="K63" s="38"/>
      <c r="L63" s="38"/>
      <c r="M63" s="38"/>
      <c r="N63" s="39"/>
      <c r="O63" s="39"/>
      <c r="P63" s="39"/>
      <c r="Q63" s="39">
        <f t="shared" si="2"/>
        <v>0</v>
      </c>
      <c r="R63" s="40">
        <f t="shared" si="3"/>
        <v>0</v>
      </c>
      <c r="S63" s="20"/>
    </row>
    <row r="64" ht="14.25" customHeight="1" hidden="1" spans="1:19" x14ac:dyDescent="0.25">
      <c r="A64" s="11">
        <v>61</v>
      </c>
      <c r="B64" s="34"/>
      <c r="C64" s="35"/>
      <c r="D64" s="35"/>
      <c r="E64" s="36"/>
      <c r="F64" s="37"/>
      <c r="G64" s="37"/>
      <c r="H64" s="37"/>
      <c r="I64" s="37"/>
      <c r="J64" s="37"/>
      <c r="K64" s="38"/>
      <c r="L64" s="38"/>
      <c r="M64" s="38"/>
      <c r="N64" s="39"/>
      <c r="O64" s="39"/>
      <c r="P64" s="39"/>
      <c r="Q64" s="39">
        <f t="shared" si="2"/>
        <v>0</v>
      </c>
      <c r="R64" s="40">
        <f t="shared" si="3"/>
        <v>0</v>
      </c>
      <c r="S64" s="20"/>
    </row>
    <row r="65" ht="14.25" customHeight="1" hidden="1" spans="1:19" x14ac:dyDescent="0.25">
      <c r="A65" s="11">
        <v>62</v>
      </c>
      <c r="B65" s="34"/>
      <c r="C65" s="35"/>
      <c r="D65" s="35"/>
      <c r="E65" s="36"/>
      <c r="F65" s="37"/>
      <c r="G65" s="37"/>
      <c r="H65" s="37"/>
      <c r="I65" s="37"/>
      <c r="J65" s="37"/>
      <c r="K65" s="38"/>
      <c r="L65" s="38"/>
      <c r="M65" s="38"/>
      <c r="N65" s="39"/>
      <c r="O65" s="39"/>
      <c r="P65" s="39"/>
      <c r="Q65" s="39">
        <f t="shared" si="2"/>
        <v>0</v>
      </c>
      <c r="R65" s="40">
        <f t="shared" si="3"/>
        <v>0</v>
      </c>
      <c r="S65" s="20"/>
    </row>
    <row r="66" ht="14.25" customHeight="1" hidden="1" spans="1:19" x14ac:dyDescent="0.25">
      <c r="A66" s="11">
        <v>63</v>
      </c>
      <c r="B66" s="34"/>
      <c r="C66" s="35"/>
      <c r="D66" s="35"/>
      <c r="E66" s="36"/>
      <c r="F66" s="37"/>
      <c r="G66" s="37"/>
      <c r="H66" s="37"/>
      <c r="I66" s="37"/>
      <c r="J66" s="37"/>
      <c r="K66" s="38"/>
      <c r="L66" s="38"/>
      <c r="M66" s="38"/>
      <c r="N66" s="39"/>
      <c r="O66" s="39"/>
      <c r="P66" s="39"/>
      <c r="Q66" s="39">
        <f t="shared" si="2"/>
        <v>0</v>
      </c>
      <c r="R66" s="40">
        <f t="shared" si="3"/>
        <v>0</v>
      </c>
      <c r="S66" s="20"/>
    </row>
    <row r="67" ht="14.25" customHeight="1" hidden="1" spans="1:19" x14ac:dyDescent="0.25">
      <c r="A67" s="11">
        <v>64</v>
      </c>
      <c r="B67" s="34"/>
      <c r="C67" s="35"/>
      <c r="D67" s="35"/>
      <c r="E67" s="36"/>
      <c r="F67" s="37"/>
      <c r="G67" s="37"/>
      <c r="H67" s="37"/>
      <c r="I67" s="37"/>
      <c r="J67" s="37"/>
      <c r="K67" s="38"/>
      <c r="L67" s="38"/>
      <c r="M67" s="38"/>
      <c r="N67" s="39"/>
      <c r="O67" s="39"/>
      <c r="P67" s="39"/>
      <c r="Q67" s="39">
        <f t="shared" si="2"/>
        <v>0</v>
      </c>
      <c r="R67" s="40">
        <f t="shared" si="3"/>
        <v>0</v>
      </c>
      <c r="S67" s="20"/>
    </row>
    <row r="68" ht="14.25" customHeight="1" hidden="1" spans="1:19" x14ac:dyDescent="0.25">
      <c r="A68" s="11">
        <v>65</v>
      </c>
      <c r="B68" s="34"/>
      <c r="C68" s="35"/>
      <c r="D68" s="35"/>
      <c r="E68" s="36"/>
      <c r="F68" s="37"/>
      <c r="G68" s="37"/>
      <c r="H68" s="37"/>
      <c r="I68" s="37"/>
      <c r="J68" s="37"/>
      <c r="K68" s="38"/>
      <c r="L68" s="38"/>
      <c r="M68" s="38"/>
      <c r="N68" s="39"/>
      <c r="O68" s="39"/>
      <c r="P68" s="39"/>
      <c r="Q68" s="39">
        <f t="shared" ref="Q68:Q103" si="4">ABS(L68)</f>
        <v>0</v>
      </c>
      <c r="R68" s="40">
        <f t="shared" ref="R68:R103" si="5">K68-Q68</f>
        <v>0</v>
      </c>
      <c r="S68" s="20"/>
    </row>
    <row r="69" ht="14.25" customHeight="1" hidden="1" spans="1:19" x14ac:dyDescent="0.25">
      <c r="A69" s="11">
        <v>66</v>
      </c>
      <c r="B69" s="34"/>
      <c r="C69" s="35"/>
      <c r="D69" s="35"/>
      <c r="E69" s="36"/>
      <c r="F69" s="37"/>
      <c r="G69" s="37"/>
      <c r="H69" s="37"/>
      <c r="I69" s="37"/>
      <c r="J69" s="37"/>
      <c r="K69" s="38"/>
      <c r="L69" s="38"/>
      <c r="M69" s="38"/>
      <c r="N69" s="39"/>
      <c r="O69" s="39"/>
      <c r="P69" s="39"/>
      <c r="Q69" s="39">
        <f t="shared" si="4"/>
        <v>0</v>
      </c>
      <c r="R69" s="40">
        <f t="shared" si="5"/>
        <v>0</v>
      </c>
      <c r="S69" s="20"/>
    </row>
    <row r="70" ht="14.25" customHeight="1" hidden="1" spans="1:19" x14ac:dyDescent="0.25">
      <c r="A70" s="11">
        <v>67</v>
      </c>
      <c r="B70" s="34"/>
      <c r="C70" s="35"/>
      <c r="D70" s="35"/>
      <c r="E70" s="36"/>
      <c r="F70" s="37"/>
      <c r="G70" s="37"/>
      <c r="H70" s="37"/>
      <c r="I70" s="37"/>
      <c r="J70" s="37"/>
      <c r="K70" s="38"/>
      <c r="L70" s="38"/>
      <c r="M70" s="38"/>
      <c r="N70" s="39"/>
      <c r="O70" s="39"/>
      <c r="P70" s="39"/>
      <c r="Q70" s="39">
        <f t="shared" si="4"/>
        <v>0</v>
      </c>
      <c r="R70" s="40">
        <f t="shared" si="5"/>
        <v>0</v>
      </c>
      <c r="S70" s="20"/>
    </row>
    <row r="71" ht="14.25" customHeight="1" hidden="1" spans="1:19" x14ac:dyDescent="0.25">
      <c r="A71" s="11">
        <v>68</v>
      </c>
      <c r="B71" s="34"/>
      <c r="C71" s="35"/>
      <c r="D71" s="35"/>
      <c r="E71" s="36"/>
      <c r="F71" s="37"/>
      <c r="G71" s="37"/>
      <c r="H71" s="37"/>
      <c r="I71" s="37"/>
      <c r="J71" s="37"/>
      <c r="K71" s="38"/>
      <c r="L71" s="38"/>
      <c r="M71" s="38"/>
      <c r="N71" s="39"/>
      <c r="O71" s="39"/>
      <c r="P71" s="39"/>
      <c r="Q71" s="39">
        <f t="shared" si="4"/>
        <v>0</v>
      </c>
      <c r="R71" s="40">
        <f t="shared" si="5"/>
        <v>0</v>
      </c>
      <c r="S71" s="20"/>
    </row>
    <row r="72" ht="14.25" customHeight="1" hidden="1" spans="1:19" x14ac:dyDescent="0.25">
      <c r="A72" s="11">
        <v>69</v>
      </c>
      <c r="B72" s="34"/>
      <c r="C72" s="35"/>
      <c r="D72" s="35"/>
      <c r="E72" s="36"/>
      <c r="F72" s="37"/>
      <c r="G72" s="37"/>
      <c r="H72" s="37"/>
      <c r="I72" s="37"/>
      <c r="J72" s="37"/>
      <c r="K72" s="38"/>
      <c r="L72" s="38"/>
      <c r="M72" s="38"/>
      <c r="N72" s="39"/>
      <c r="O72" s="39"/>
      <c r="P72" s="39"/>
      <c r="Q72" s="39">
        <f t="shared" si="4"/>
        <v>0</v>
      </c>
      <c r="R72" s="40">
        <f t="shared" si="5"/>
        <v>0</v>
      </c>
      <c r="S72" s="20"/>
    </row>
    <row r="73" ht="14.25" customHeight="1" hidden="1" spans="1:19" x14ac:dyDescent="0.25">
      <c r="A73" s="11">
        <v>70</v>
      </c>
      <c r="B73" s="34"/>
      <c r="C73" s="35"/>
      <c r="D73" s="35"/>
      <c r="E73" s="36"/>
      <c r="F73" s="37"/>
      <c r="G73" s="37"/>
      <c r="H73" s="37"/>
      <c r="I73" s="37"/>
      <c r="J73" s="37"/>
      <c r="K73" s="38"/>
      <c r="L73" s="38"/>
      <c r="M73" s="38"/>
      <c r="N73" s="39"/>
      <c r="O73" s="39"/>
      <c r="P73" s="39"/>
      <c r="Q73" s="39">
        <f t="shared" si="4"/>
        <v>0</v>
      </c>
      <c r="R73" s="40">
        <f t="shared" si="5"/>
        <v>0</v>
      </c>
      <c r="S73" s="20"/>
    </row>
    <row r="74" ht="14.25" customHeight="1" hidden="1" spans="1:19" x14ac:dyDescent="0.25">
      <c r="A74" s="11">
        <v>71</v>
      </c>
      <c r="B74" s="34"/>
      <c r="C74" s="35"/>
      <c r="D74" s="41"/>
      <c r="E74" s="36"/>
      <c r="F74" s="37"/>
      <c r="G74" s="37"/>
      <c r="H74" s="37"/>
      <c r="I74" s="37"/>
      <c r="J74" s="37"/>
      <c r="K74" s="38"/>
      <c r="L74" s="38"/>
      <c r="M74" s="38"/>
      <c r="N74" s="39"/>
      <c r="O74" s="39"/>
      <c r="P74" s="39"/>
      <c r="Q74" s="39">
        <f t="shared" si="4"/>
        <v>0</v>
      </c>
      <c r="R74" s="40">
        <f t="shared" si="5"/>
        <v>0</v>
      </c>
      <c r="S74" s="20"/>
    </row>
    <row r="75" ht="14.25" customHeight="1" hidden="1" spans="1:19" x14ac:dyDescent="0.25">
      <c r="A75" s="11">
        <v>72</v>
      </c>
      <c r="B75" s="34"/>
      <c r="C75" s="35"/>
      <c r="D75" s="35"/>
      <c r="E75" s="36"/>
      <c r="F75" s="37"/>
      <c r="G75" s="37"/>
      <c r="H75" s="37"/>
      <c r="I75" s="37"/>
      <c r="J75" s="37"/>
      <c r="K75" s="38"/>
      <c r="L75" s="38"/>
      <c r="M75" s="38"/>
      <c r="N75" s="39"/>
      <c r="O75" s="39"/>
      <c r="P75" s="39"/>
      <c r="Q75" s="39">
        <f t="shared" si="4"/>
        <v>0</v>
      </c>
      <c r="R75" s="40">
        <f t="shared" si="5"/>
        <v>0</v>
      </c>
      <c r="S75" s="20"/>
    </row>
    <row r="76" ht="14.25" customHeight="1" hidden="1" spans="1:19" x14ac:dyDescent="0.25">
      <c r="A76" s="11">
        <v>73</v>
      </c>
      <c r="B76" s="34"/>
      <c r="C76" s="35"/>
      <c r="D76" s="35"/>
      <c r="E76" s="36"/>
      <c r="F76" s="37"/>
      <c r="G76" s="37"/>
      <c r="H76" s="37"/>
      <c r="I76" s="37"/>
      <c r="J76" s="37"/>
      <c r="K76" s="38"/>
      <c r="L76" s="38"/>
      <c r="M76" s="38"/>
      <c r="N76" s="39"/>
      <c r="O76" s="39"/>
      <c r="P76" s="39"/>
      <c r="Q76" s="39">
        <f t="shared" si="4"/>
        <v>0</v>
      </c>
      <c r="R76" s="40">
        <f t="shared" si="5"/>
        <v>0</v>
      </c>
      <c r="S76" s="20"/>
    </row>
    <row r="77" ht="14.25" customHeight="1" hidden="1" spans="1:19" x14ac:dyDescent="0.25">
      <c r="A77" s="11">
        <v>74</v>
      </c>
      <c r="B77" s="34"/>
      <c r="C77" s="35"/>
      <c r="D77" s="35"/>
      <c r="E77" s="36"/>
      <c r="F77" s="37"/>
      <c r="G77" s="37"/>
      <c r="H77" s="37"/>
      <c r="I77" s="37"/>
      <c r="J77" s="37"/>
      <c r="K77" s="38"/>
      <c r="L77" s="38"/>
      <c r="M77" s="38"/>
      <c r="N77" s="39"/>
      <c r="O77" s="39"/>
      <c r="P77" s="39"/>
      <c r="Q77" s="39">
        <f t="shared" si="4"/>
        <v>0</v>
      </c>
      <c r="R77" s="40">
        <f t="shared" si="5"/>
        <v>0</v>
      </c>
      <c r="S77" s="20"/>
    </row>
    <row r="78" ht="14.25" customHeight="1" hidden="1" spans="1:19" x14ac:dyDescent="0.25">
      <c r="A78" s="11">
        <v>75</v>
      </c>
      <c r="B78" s="34"/>
      <c r="C78" s="35"/>
      <c r="D78" s="35"/>
      <c r="E78" s="36"/>
      <c r="F78" s="42"/>
      <c r="G78" s="42"/>
      <c r="H78" s="42"/>
      <c r="I78" s="42"/>
      <c r="J78" s="42"/>
      <c r="K78" s="40"/>
      <c r="L78" s="40"/>
      <c r="M78" s="38"/>
      <c r="N78" s="39"/>
      <c r="O78" s="39"/>
      <c r="P78" s="39"/>
      <c r="Q78" s="40">
        <f t="shared" si="4"/>
        <v>0</v>
      </c>
      <c r="R78" s="40">
        <f t="shared" si="5"/>
        <v>0</v>
      </c>
      <c r="S78" s="20"/>
    </row>
    <row r="79" ht="14.25" customHeight="1" hidden="1" spans="1:19" x14ac:dyDescent="0.25">
      <c r="A79" s="11">
        <v>76</v>
      </c>
      <c r="B79" s="34"/>
      <c r="C79" s="35"/>
      <c r="D79" s="35"/>
      <c r="E79" s="36"/>
      <c r="F79" s="42"/>
      <c r="G79" s="42"/>
      <c r="H79" s="42"/>
      <c r="I79" s="42"/>
      <c r="J79" s="42"/>
      <c r="K79" s="40"/>
      <c r="L79" s="40"/>
      <c r="M79" s="38"/>
      <c r="N79" s="39"/>
      <c r="O79" s="39"/>
      <c r="P79" s="39"/>
      <c r="Q79" s="40">
        <f t="shared" si="4"/>
        <v>0</v>
      </c>
      <c r="R79" s="40">
        <f t="shared" si="5"/>
        <v>0</v>
      </c>
      <c r="S79" s="20"/>
    </row>
    <row r="80" ht="14.25" customHeight="1" hidden="1" spans="1:19" x14ac:dyDescent="0.25">
      <c r="A80" s="11">
        <v>77</v>
      </c>
      <c r="B80" s="34"/>
      <c r="C80" s="35"/>
      <c r="D80" s="35"/>
      <c r="E80" s="36"/>
      <c r="F80" s="42"/>
      <c r="G80" s="42"/>
      <c r="H80" s="42"/>
      <c r="I80" s="42"/>
      <c r="J80" s="42"/>
      <c r="K80" s="40"/>
      <c r="L80" s="40"/>
      <c r="M80" s="38"/>
      <c r="N80" s="39"/>
      <c r="O80" s="39"/>
      <c r="P80" s="39"/>
      <c r="Q80" s="40">
        <f t="shared" si="4"/>
        <v>0</v>
      </c>
      <c r="R80" s="40">
        <f t="shared" si="5"/>
        <v>0</v>
      </c>
      <c r="S80" s="20"/>
    </row>
    <row r="81" ht="14.25" customHeight="1" hidden="1" spans="1:19" x14ac:dyDescent="0.25">
      <c r="A81" s="11">
        <v>78</v>
      </c>
      <c r="B81" s="34"/>
      <c r="C81" s="35"/>
      <c r="D81" s="35"/>
      <c r="E81" s="36"/>
      <c r="F81" s="42"/>
      <c r="G81" s="42"/>
      <c r="H81" s="42"/>
      <c r="I81" s="42"/>
      <c r="J81" s="42"/>
      <c r="K81" s="40"/>
      <c r="L81" s="40"/>
      <c r="M81" s="38"/>
      <c r="N81" s="39"/>
      <c r="O81" s="39"/>
      <c r="P81" s="39"/>
      <c r="Q81" s="40">
        <f t="shared" si="4"/>
        <v>0</v>
      </c>
      <c r="R81" s="40">
        <f t="shared" si="5"/>
        <v>0</v>
      </c>
      <c r="S81" s="20"/>
    </row>
    <row r="82" ht="14.25" customHeight="1" hidden="1" spans="1:19" x14ac:dyDescent="0.25">
      <c r="A82" s="11">
        <v>79</v>
      </c>
      <c r="B82" s="34"/>
      <c r="C82" s="35"/>
      <c r="D82" s="35"/>
      <c r="E82" s="36"/>
      <c r="F82" s="42"/>
      <c r="G82" s="42"/>
      <c r="H82" s="42"/>
      <c r="I82" s="42"/>
      <c r="J82" s="42"/>
      <c r="K82" s="40"/>
      <c r="L82" s="40"/>
      <c r="M82" s="38"/>
      <c r="N82" s="39"/>
      <c r="O82" s="39"/>
      <c r="P82" s="39"/>
      <c r="Q82" s="40">
        <f t="shared" si="4"/>
        <v>0</v>
      </c>
      <c r="R82" s="40">
        <f t="shared" si="5"/>
        <v>0</v>
      </c>
      <c r="S82" s="20"/>
    </row>
    <row r="83" ht="14.25" customHeight="1" hidden="1" spans="1:19" x14ac:dyDescent="0.25">
      <c r="A83" s="11">
        <v>80</v>
      </c>
      <c r="B83" s="34"/>
      <c r="C83" s="35"/>
      <c r="D83" s="35"/>
      <c r="E83" s="36"/>
      <c r="F83" s="42"/>
      <c r="G83" s="42"/>
      <c r="H83" s="42"/>
      <c r="I83" s="42"/>
      <c r="J83" s="42"/>
      <c r="K83" s="40"/>
      <c r="L83" s="40"/>
      <c r="M83" s="38"/>
      <c r="N83" s="39"/>
      <c r="O83" s="39"/>
      <c r="P83" s="39"/>
      <c r="Q83" s="40">
        <f t="shared" si="4"/>
        <v>0</v>
      </c>
      <c r="R83" s="40">
        <f t="shared" si="5"/>
        <v>0</v>
      </c>
      <c r="S83" s="20"/>
    </row>
    <row r="84" ht="14.25" customHeight="1" hidden="1" spans="1:19" x14ac:dyDescent="0.25">
      <c r="A84" s="11">
        <v>81</v>
      </c>
      <c r="B84" s="34"/>
      <c r="C84" s="35"/>
      <c r="D84" s="35"/>
      <c r="E84" s="36"/>
      <c r="F84" s="42"/>
      <c r="G84" s="42"/>
      <c r="H84" s="42"/>
      <c r="I84" s="42"/>
      <c r="J84" s="42"/>
      <c r="K84" s="40"/>
      <c r="L84" s="40"/>
      <c r="M84" s="38"/>
      <c r="N84" s="39"/>
      <c r="O84" s="39"/>
      <c r="P84" s="39"/>
      <c r="Q84" s="40">
        <f t="shared" si="4"/>
        <v>0</v>
      </c>
      <c r="R84" s="40">
        <f t="shared" si="5"/>
        <v>0</v>
      </c>
      <c r="S84" s="20"/>
    </row>
    <row r="85" ht="14.25" customHeight="1" hidden="1" spans="1:19" x14ac:dyDescent="0.25">
      <c r="A85" s="11">
        <v>82</v>
      </c>
      <c r="B85" s="34"/>
      <c r="C85" s="35"/>
      <c r="D85" s="35"/>
      <c r="E85" s="36"/>
      <c r="F85" s="42"/>
      <c r="G85" s="42"/>
      <c r="H85" s="42"/>
      <c r="I85" s="42"/>
      <c r="J85" s="42"/>
      <c r="K85" s="40"/>
      <c r="L85" s="40"/>
      <c r="M85" s="38"/>
      <c r="N85" s="39"/>
      <c r="O85" s="39"/>
      <c r="P85" s="39"/>
      <c r="Q85" s="40">
        <f t="shared" si="4"/>
        <v>0</v>
      </c>
      <c r="R85" s="40">
        <f t="shared" si="5"/>
        <v>0</v>
      </c>
      <c r="S85" s="20"/>
    </row>
    <row r="86" ht="14.25" customHeight="1" hidden="1" spans="1:19" x14ac:dyDescent="0.25">
      <c r="A86" s="11">
        <v>83</v>
      </c>
      <c r="B86" s="34"/>
      <c r="C86" s="35"/>
      <c r="D86" s="35"/>
      <c r="E86" s="36"/>
      <c r="F86" s="42"/>
      <c r="G86" s="42"/>
      <c r="H86" s="42"/>
      <c r="I86" s="42"/>
      <c r="J86" s="42"/>
      <c r="K86" s="40"/>
      <c r="L86" s="40"/>
      <c r="M86" s="38"/>
      <c r="N86" s="39"/>
      <c r="O86" s="39"/>
      <c r="P86" s="39"/>
      <c r="Q86" s="40">
        <f t="shared" si="4"/>
        <v>0</v>
      </c>
      <c r="R86" s="40">
        <f t="shared" si="5"/>
        <v>0</v>
      </c>
      <c r="S86" s="20"/>
    </row>
    <row r="87" ht="14.25" customHeight="1" hidden="1" spans="1:19" x14ac:dyDescent="0.25">
      <c r="A87" s="11">
        <v>84</v>
      </c>
      <c r="B87" s="34"/>
      <c r="C87" s="35"/>
      <c r="D87" s="41"/>
      <c r="E87" s="36"/>
      <c r="F87" s="42"/>
      <c r="G87" s="42"/>
      <c r="H87" s="42"/>
      <c r="I87" s="42"/>
      <c r="J87" s="42"/>
      <c r="K87" s="40"/>
      <c r="L87" s="40"/>
      <c r="M87" s="38"/>
      <c r="N87" s="39"/>
      <c r="O87" s="39"/>
      <c r="P87" s="39"/>
      <c r="Q87" s="40">
        <f t="shared" si="4"/>
        <v>0</v>
      </c>
      <c r="R87" s="40">
        <f t="shared" si="5"/>
        <v>0</v>
      </c>
      <c r="S87" s="20"/>
    </row>
    <row r="88" ht="14.25" customHeight="1" hidden="1" spans="1:19" x14ac:dyDescent="0.25">
      <c r="A88" s="11">
        <v>85</v>
      </c>
      <c r="B88" s="34"/>
      <c r="C88" s="35"/>
      <c r="D88" s="35"/>
      <c r="E88" s="36"/>
      <c r="F88" s="42"/>
      <c r="G88" s="42"/>
      <c r="H88" s="42"/>
      <c r="I88" s="42"/>
      <c r="J88" s="42"/>
      <c r="K88" s="40"/>
      <c r="L88" s="40"/>
      <c r="M88" s="38"/>
      <c r="N88" s="39"/>
      <c r="O88" s="39"/>
      <c r="P88" s="39"/>
      <c r="Q88" s="40">
        <f t="shared" si="4"/>
        <v>0</v>
      </c>
      <c r="R88" s="40">
        <f t="shared" si="5"/>
        <v>0</v>
      </c>
      <c r="S88" s="20"/>
    </row>
    <row r="89" ht="14.25" customHeight="1" hidden="1" spans="1:19" x14ac:dyDescent="0.25">
      <c r="A89" s="11">
        <v>86</v>
      </c>
      <c r="B89" s="34"/>
      <c r="C89" s="35"/>
      <c r="D89" s="35"/>
      <c r="E89" s="36"/>
      <c r="F89" s="42"/>
      <c r="G89" s="42"/>
      <c r="H89" s="42"/>
      <c r="I89" s="42"/>
      <c r="J89" s="42"/>
      <c r="K89" s="40"/>
      <c r="L89" s="40"/>
      <c r="M89" s="38"/>
      <c r="N89" s="39"/>
      <c r="O89" s="39"/>
      <c r="P89" s="39"/>
      <c r="Q89" s="40">
        <f t="shared" si="4"/>
        <v>0</v>
      </c>
      <c r="R89" s="40">
        <f t="shared" si="5"/>
        <v>0</v>
      </c>
      <c r="S89" s="20"/>
    </row>
    <row r="90" ht="14.25" customHeight="1" hidden="1" spans="1:19" x14ac:dyDescent="0.25">
      <c r="A90" s="11">
        <v>87</v>
      </c>
      <c r="B90" s="34"/>
      <c r="C90" s="35"/>
      <c r="D90" s="35"/>
      <c r="E90" s="36"/>
      <c r="F90" s="42"/>
      <c r="G90" s="42"/>
      <c r="H90" s="42"/>
      <c r="I90" s="42"/>
      <c r="J90" s="42"/>
      <c r="K90" s="40"/>
      <c r="L90" s="40"/>
      <c r="M90" s="38"/>
      <c r="N90" s="39"/>
      <c r="O90" s="39"/>
      <c r="P90" s="39"/>
      <c r="Q90" s="40">
        <f t="shared" si="4"/>
        <v>0</v>
      </c>
      <c r="R90" s="40">
        <f t="shared" si="5"/>
        <v>0</v>
      </c>
      <c r="S90" s="20"/>
    </row>
    <row r="91" ht="14.25" customHeight="1" hidden="1" spans="1:19" x14ac:dyDescent="0.25">
      <c r="A91" s="11">
        <v>88</v>
      </c>
      <c r="B91" s="34"/>
      <c r="C91" s="35"/>
      <c r="D91" s="35"/>
      <c r="E91" s="36"/>
      <c r="F91" s="42"/>
      <c r="G91" s="42"/>
      <c r="H91" s="42"/>
      <c r="I91" s="42"/>
      <c r="J91" s="42"/>
      <c r="K91" s="40"/>
      <c r="L91" s="40"/>
      <c r="M91" s="38"/>
      <c r="N91" s="39"/>
      <c r="O91" s="39"/>
      <c r="P91" s="39"/>
      <c r="Q91" s="40">
        <f t="shared" si="4"/>
        <v>0</v>
      </c>
      <c r="R91" s="40">
        <f t="shared" si="5"/>
        <v>0</v>
      </c>
      <c r="S91" s="20"/>
    </row>
    <row r="92" ht="14.25" customHeight="1" hidden="1" spans="1:19" x14ac:dyDescent="0.25">
      <c r="A92" s="11">
        <v>89</v>
      </c>
      <c r="B92" s="34"/>
      <c r="C92" s="35"/>
      <c r="D92" s="35"/>
      <c r="E92" s="36"/>
      <c r="F92" s="42"/>
      <c r="G92" s="42"/>
      <c r="H92" s="42"/>
      <c r="I92" s="42"/>
      <c r="J92" s="42"/>
      <c r="K92" s="40"/>
      <c r="L92" s="40"/>
      <c r="M92" s="38"/>
      <c r="N92" s="39"/>
      <c r="O92" s="39"/>
      <c r="P92" s="39"/>
      <c r="Q92" s="40">
        <f t="shared" si="4"/>
        <v>0</v>
      </c>
      <c r="R92" s="40">
        <f t="shared" si="5"/>
        <v>0</v>
      </c>
      <c r="S92" s="20"/>
    </row>
    <row r="93" ht="14.25" customHeight="1" hidden="1" spans="1:19" x14ac:dyDescent="0.25">
      <c r="A93" s="11">
        <v>90</v>
      </c>
      <c r="B93" s="34"/>
      <c r="C93" s="35"/>
      <c r="D93" s="35"/>
      <c r="E93" s="36"/>
      <c r="F93" s="42"/>
      <c r="G93" s="42"/>
      <c r="H93" s="42"/>
      <c r="I93" s="42"/>
      <c r="J93" s="42"/>
      <c r="K93" s="40"/>
      <c r="L93" s="40"/>
      <c r="M93" s="38"/>
      <c r="N93" s="39"/>
      <c r="O93" s="39"/>
      <c r="P93" s="39"/>
      <c r="Q93" s="40">
        <f t="shared" si="4"/>
        <v>0</v>
      </c>
      <c r="R93" s="40">
        <f t="shared" si="5"/>
        <v>0</v>
      </c>
      <c r="S93" s="20"/>
    </row>
    <row r="94" ht="14.25" customHeight="1" hidden="1" spans="1:19" x14ac:dyDescent="0.25">
      <c r="A94" s="11">
        <v>91</v>
      </c>
      <c r="B94" s="34"/>
      <c r="C94" s="35"/>
      <c r="D94" s="35"/>
      <c r="E94" s="36"/>
      <c r="F94" s="42"/>
      <c r="G94" s="42"/>
      <c r="H94" s="42"/>
      <c r="I94" s="42"/>
      <c r="J94" s="42"/>
      <c r="K94" s="40"/>
      <c r="L94" s="40"/>
      <c r="M94" s="38"/>
      <c r="N94" s="39"/>
      <c r="O94" s="39"/>
      <c r="P94" s="39"/>
      <c r="Q94" s="40">
        <f t="shared" si="4"/>
        <v>0</v>
      </c>
      <c r="R94" s="40">
        <f t="shared" si="5"/>
        <v>0</v>
      </c>
      <c r="S94" s="20"/>
    </row>
    <row r="95" ht="14.25" customHeight="1" hidden="1" spans="1:19" x14ac:dyDescent="0.25">
      <c r="A95" s="11">
        <v>92</v>
      </c>
      <c r="B95" s="34"/>
      <c r="C95" s="35"/>
      <c r="D95" s="35"/>
      <c r="E95" s="36"/>
      <c r="F95" s="42"/>
      <c r="G95" s="42"/>
      <c r="H95" s="42"/>
      <c r="I95" s="42"/>
      <c r="J95" s="42"/>
      <c r="K95" s="40"/>
      <c r="L95" s="40"/>
      <c r="M95" s="38"/>
      <c r="N95" s="39"/>
      <c r="O95" s="39"/>
      <c r="P95" s="39"/>
      <c r="Q95" s="40">
        <f t="shared" si="4"/>
        <v>0</v>
      </c>
      <c r="R95" s="40">
        <f t="shared" si="5"/>
        <v>0</v>
      </c>
      <c r="S95" s="20"/>
    </row>
    <row r="96" ht="14.25" customHeight="1" hidden="1" spans="1:19" x14ac:dyDescent="0.25">
      <c r="A96" s="11">
        <v>93</v>
      </c>
      <c r="B96" s="34"/>
      <c r="C96" s="35"/>
      <c r="D96" s="35"/>
      <c r="E96" s="36"/>
      <c r="F96" s="42"/>
      <c r="G96" s="42"/>
      <c r="H96" s="42"/>
      <c r="I96" s="42"/>
      <c r="J96" s="42"/>
      <c r="K96" s="40"/>
      <c r="L96" s="40"/>
      <c r="M96" s="38"/>
      <c r="N96" s="39"/>
      <c r="O96" s="39"/>
      <c r="P96" s="39"/>
      <c r="Q96" s="40">
        <f t="shared" si="4"/>
        <v>0</v>
      </c>
      <c r="R96" s="40">
        <f t="shared" si="5"/>
        <v>0</v>
      </c>
      <c r="S96" s="20"/>
    </row>
    <row r="97" ht="14.25" customHeight="1" hidden="1" spans="1:19" x14ac:dyDescent="0.25">
      <c r="A97" s="11">
        <v>94</v>
      </c>
      <c r="B97" s="34"/>
      <c r="C97" s="35"/>
      <c r="D97" s="35"/>
      <c r="E97" s="36"/>
      <c r="F97" s="42"/>
      <c r="G97" s="42"/>
      <c r="H97" s="42"/>
      <c r="I97" s="42"/>
      <c r="J97" s="42"/>
      <c r="K97" s="40"/>
      <c r="L97" s="40"/>
      <c r="M97" s="38"/>
      <c r="N97" s="39"/>
      <c r="O97" s="39"/>
      <c r="P97" s="39"/>
      <c r="Q97" s="40">
        <f t="shared" si="4"/>
        <v>0</v>
      </c>
      <c r="R97" s="40">
        <f t="shared" si="5"/>
        <v>0</v>
      </c>
      <c r="S97" s="20"/>
    </row>
    <row r="98" ht="14.25" customHeight="1" hidden="1" spans="1:19" x14ac:dyDescent="0.25">
      <c r="A98" s="11">
        <v>95</v>
      </c>
      <c r="B98" s="34"/>
      <c r="C98" s="35"/>
      <c r="D98" s="35"/>
      <c r="E98" s="36"/>
      <c r="F98" s="42"/>
      <c r="G98" s="42"/>
      <c r="H98" s="42"/>
      <c r="I98" s="42"/>
      <c r="J98" s="42"/>
      <c r="K98" s="40"/>
      <c r="L98" s="40"/>
      <c r="M98" s="38"/>
      <c r="N98" s="39"/>
      <c r="O98" s="39"/>
      <c r="P98" s="39"/>
      <c r="Q98" s="40">
        <f t="shared" si="4"/>
        <v>0</v>
      </c>
      <c r="R98" s="40">
        <f t="shared" si="5"/>
        <v>0</v>
      </c>
      <c r="S98" s="20"/>
    </row>
    <row r="99" ht="14.25" customHeight="1" hidden="1" spans="1:19" x14ac:dyDescent="0.25">
      <c r="A99" s="11">
        <v>96</v>
      </c>
      <c r="B99" s="34"/>
      <c r="C99" s="35"/>
      <c r="D99" s="35"/>
      <c r="E99" s="36"/>
      <c r="F99" s="42"/>
      <c r="G99" s="42"/>
      <c r="H99" s="42"/>
      <c r="I99" s="42"/>
      <c r="J99" s="42"/>
      <c r="K99" s="40"/>
      <c r="L99" s="40"/>
      <c r="M99" s="38"/>
      <c r="N99" s="39"/>
      <c r="O99" s="39"/>
      <c r="P99" s="39"/>
      <c r="Q99" s="40">
        <f t="shared" si="4"/>
        <v>0</v>
      </c>
      <c r="R99" s="40">
        <f t="shared" si="5"/>
        <v>0</v>
      </c>
      <c r="S99" s="20"/>
    </row>
    <row r="100" ht="14.25" customHeight="1" hidden="1" spans="1:19" x14ac:dyDescent="0.25">
      <c r="A100" s="11">
        <v>97</v>
      </c>
      <c r="B100" s="34"/>
      <c r="C100" s="35"/>
      <c r="D100" s="35"/>
      <c r="E100" s="36"/>
      <c r="F100" s="42"/>
      <c r="G100" s="42"/>
      <c r="H100" s="42"/>
      <c r="I100" s="42"/>
      <c r="J100" s="42"/>
      <c r="K100" s="40"/>
      <c r="L100" s="40"/>
      <c r="M100" s="38"/>
      <c r="N100" s="39"/>
      <c r="O100" s="39"/>
      <c r="P100" s="39"/>
      <c r="Q100" s="40">
        <f t="shared" si="4"/>
        <v>0</v>
      </c>
      <c r="R100" s="40">
        <f t="shared" si="5"/>
        <v>0</v>
      </c>
      <c r="S100" s="20"/>
    </row>
    <row r="101" ht="14.25" customHeight="1" hidden="1" spans="1:19" x14ac:dyDescent="0.25">
      <c r="A101" s="11">
        <v>98</v>
      </c>
      <c r="B101" s="34"/>
      <c r="C101" s="35"/>
      <c r="D101" s="35"/>
      <c r="E101" s="36"/>
      <c r="F101" s="42"/>
      <c r="G101" s="42"/>
      <c r="H101" s="42"/>
      <c r="I101" s="42"/>
      <c r="J101" s="42"/>
      <c r="K101" s="40"/>
      <c r="L101" s="40"/>
      <c r="M101" s="38"/>
      <c r="N101" s="39"/>
      <c r="O101" s="39"/>
      <c r="P101" s="39"/>
      <c r="Q101" s="40">
        <f t="shared" si="4"/>
        <v>0</v>
      </c>
      <c r="R101" s="40">
        <f t="shared" si="5"/>
        <v>0</v>
      </c>
      <c r="S101" s="20"/>
    </row>
    <row r="102" ht="14.25" customHeight="1" hidden="1" spans="1:19" x14ac:dyDescent="0.25">
      <c r="A102" s="11">
        <v>99</v>
      </c>
      <c r="B102" s="34"/>
      <c r="C102" s="35"/>
      <c r="D102" s="35"/>
      <c r="E102" s="36"/>
      <c r="F102" s="42"/>
      <c r="G102" s="42"/>
      <c r="H102" s="42"/>
      <c r="I102" s="42"/>
      <c r="J102" s="42"/>
      <c r="K102" s="40"/>
      <c r="L102" s="40"/>
      <c r="M102" s="38"/>
      <c r="N102" s="39"/>
      <c r="O102" s="39"/>
      <c r="P102" s="39"/>
      <c r="Q102" s="40">
        <f t="shared" si="4"/>
        <v>0</v>
      </c>
      <c r="R102" s="40">
        <f t="shared" si="5"/>
        <v>0</v>
      </c>
      <c r="S102" s="20"/>
    </row>
    <row r="103" ht="14.25" customHeight="1" hidden="1" spans="1:19" x14ac:dyDescent="0.25">
      <c r="A103" s="11">
        <v>100</v>
      </c>
      <c r="B103" s="34"/>
      <c r="C103" s="35"/>
      <c r="D103" s="35"/>
      <c r="E103" s="36"/>
      <c r="F103" s="42"/>
      <c r="G103" s="42"/>
      <c r="H103" s="42"/>
      <c r="I103" s="42"/>
      <c r="J103" s="42"/>
      <c r="K103" s="40"/>
      <c r="L103" s="40"/>
      <c r="M103" s="38"/>
      <c r="N103" s="39"/>
      <c r="O103" s="39"/>
      <c r="P103" s="39"/>
      <c r="Q103" s="40">
        <f t="shared" si="4"/>
        <v>0</v>
      </c>
      <c r="R103" s="40">
        <f t="shared" si="5"/>
        <v>0</v>
      </c>
      <c r="S103" s="20"/>
    </row>
    <row r="104" ht="14.25" customHeight="1" spans="1:19" x14ac:dyDescent="0.25">
      <c r="A104" s="43" t="s">
        <v>25</v>
      </c>
      <c r="B104" s="44"/>
      <c r="C104" s="43"/>
      <c r="D104" s="43"/>
      <c r="E104" s="43"/>
      <c r="F104" s="43"/>
      <c r="G104" s="43"/>
      <c r="H104" s="43"/>
      <c r="I104" s="43"/>
      <c r="J104" s="43"/>
      <c r="K104" s="45">
        <f>SUM(K4:K103)</f>
        <v>0</v>
      </c>
      <c r="L104" s="45">
        <f>SUM(L4:L103)</f>
        <v>0</v>
      </c>
      <c r="M104" s="45"/>
      <c r="N104" s="45"/>
      <c r="O104" s="45"/>
      <c r="P104" s="45"/>
      <c r="Q104" s="46">
        <f>SUM(Q4:Q103)</f>
        <v>0</v>
      </c>
      <c r="R104" s="47">
        <f>SUM(R4:R103)</f>
        <v>0</v>
      </c>
      <c r="S104" s="48"/>
    </row>
    <row r="105" spans="2:19" x14ac:dyDescent="0.25">
      <c r="B105" s="4"/>
      <c r="S105" s="5"/>
    </row>
    <row r="106" spans="2:21" x14ac:dyDescent="0.25">
      <c r="B106" s="1" t="s">
        <v>26</v>
      </c>
      <c r="U106" s="1"/>
    </row>
    <row r="107" spans="2:21" x14ac:dyDescent="0.25">
      <c r="B107" s="49" t="s">
        <v>6</v>
      </c>
      <c r="C107" s="49"/>
      <c r="D107" s="49" t="s">
        <v>27</v>
      </c>
      <c r="E107" s="49" t="s">
        <v>28</v>
      </c>
      <c r="F107" s="49" t="s">
        <v>29</v>
      </c>
      <c r="G107" s="49"/>
      <c r="H107" s="49"/>
      <c r="I107" s="49" t="s">
        <v>30</v>
      </c>
      <c r="J107" s="49"/>
      <c r="K107" s="49" t="s">
        <v>31</v>
      </c>
      <c r="U107" s="1"/>
    </row>
    <row r="108" spans="2:21" x14ac:dyDescent="0.25">
      <c r="B108" s="11" t="s">
        <v>1</v>
      </c>
      <c r="C108" s="11"/>
      <c r="D108" s="50">
        <f t="array" ref="D108">SUMPRODUCT(($E$4:$E$103="객실단품")*($K$4:$K$103)+($E$4:$E$103="객실취소위약금")*($K$4:$K$103))</f>
        <v>0</v>
      </c>
      <c r="E108" s="50">
        <f>I108/1.1</f>
        <v>0</v>
      </c>
      <c r="F108" s="51">
        <f>E108*10%</f>
        <v>0</v>
      </c>
      <c r="G108" s="51"/>
      <c r="H108" s="51"/>
      <c r="I108" s="50">
        <f>SUMPRODUCT(($E$4:$E$103="객실단품")*($Q$4:$Q$103)+($E$4:$E$103="객실취소위약금")*($Q$4:$Q$103))</f>
        <v>0</v>
      </c>
      <c r="J108" s="50"/>
      <c r="K108" s="51">
        <f>D108-I108</f>
        <v>0</v>
      </c>
      <c r="U108" s="1"/>
    </row>
    <row r="109" spans="2:21" x14ac:dyDescent="0.25">
      <c r="B109" s="11" t="s">
        <v>24</v>
      </c>
      <c r="C109" s="11"/>
      <c r="D109" s="50">
        <f>SUMPRODUCT(($E$4:$E$103="워터플래닛PKG")*($K$4:$K$103))</f>
        <v>0</v>
      </c>
      <c r="E109" s="50">
        <f>I109/1.1</f>
        <v>0</v>
      </c>
      <c r="F109" s="51">
        <f>E109*10%</f>
        <v>0</v>
      </c>
      <c r="G109" s="51"/>
      <c r="H109" s="51"/>
      <c r="I109" s="50">
        <f>SUMPRODUCT(($E$4:$E$103="워터플래닛PKG")*($Q$4:$Q$103))</f>
        <v>0</v>
      </c>
      <c r="J109" s="50"/>
      <c r="K109" s="51">
        <f>D109-I109</f>
        <v>0</v>
      </c>
      <c r="U109" s="1"/>
    </row>
    <row r="110" spans="2:21" x14ac:dyDescent="0.25">
      <c r="B110" s="11" t="s">
        <v>20</v>
      </c>
      <c r="C110" s="11"/>
      <c r="D110" s="50">
        <f>SUMPRODUCT(($E$4:$E$103="히든힐스객실")*($K$4:$K$103))</f>
        <v>0</v>
      </c>
      <c r="E110" s="50">
        <f t="shared" ref="E110:E112" si="6">I110/1.1</f>
        <v>0</v>
      </c>
      <c r="F110" s="51">
        <f t="shared" ref="F110:F113" si="7">E110*10%</f>
        <v>0</v>
      </c>
      <c r="G110" s="51"/>
      <c r="H110" s="51"/>
      <c r="I110" s="50">
        <f>SUMPRODUCT(($E$4:$E$103="히든힐스객실")*($Q$4:$Q$103))</f>
        <v>0</v>
      </c>
      <c r="J110" s="50"/>
      <c r="K110" s="51">
        <f>D110-I110</f>
        <v>0</v>
      </c>
      <c r="U110" s="1"/>
    </row>
    <row r="111" spans="2:21" x14ac:dyDescent="0.25">
      <c r="B111" s="52" t="s">
        <v>22</v>
      </c>
      <c r="C111" s="11"/>
      <c r="D111" s="50">
        <f>SUMPRODUCT(($E$4:$E$103="히든힐스워터PKG")*($K$4:$K$103))</f>
        <v>0</v>
      </c>
      <c r="E111" s="50">
        <f t="shared" si="6"/>
        <v>0</v>
      </c>
      <c r="F111" s="51">
        <f t="shared" si="7"/>
        <v>0</v>
      </c>
      <c r="G111" s="51"/>
      <c r="H111" s="51"/>
      <c r="I111" s="50">
        <f>SUMPRODUCT(($E$4:$E$103="히든힐스워터PKG")*($Q$4:$Q$103))</f>
        <v>0</v>
      </c>
      <c r="J111" s="50"/>
      <c r="K111" s="51">
        <f>D111-I111</f>
        <v>0</v>
      </c>
      <c r="U111" s="1"/>
    </row>
    <row r="112" spans="2:21" x14ac:dyDescent="0.25">
      <c r="B112" s="11" t="s">
        <v>23</v>
      </c>
      <c r="C112" s="11"/>
      <c r="D112" s="50">
        <f>SUMPRODUCT(($E$4:$E$103="히든힐스조식PKG")*($K$4:$K$103))</f>
        <v>0</v>
      </c>
      <c r="E112" s="50">
        <f t="shared" si="6"/>
        <v>0</v>
      </c>
      <c r="F112" s="51">
        <f t="shared" si="7"/>
        <v>0</v>
      </c>
      <c r="G112" s="51"/>
      <c r="H112" s="51"/>
      <c r="I112" s="50">
        <f>SUMPRODUCT(($E$4:$E$103="히든힐스조식PKG")*($Q$4:$Q$103))</f>
        <v>0</v>
      </c>
      <c r="J112" s="50"/>
      <c r="K112" s="51">
        <f t="shared" ref="K112:K113" si="8">D112-I112</f>
        <v>0</v>
      </c>
      <c r="U112" s="1"/>
    </row>
    <row r="113" spans="2:21" x14ac:dyDescent="0.25">
      <c r="B113" s="11" t="s">
        <v>32</v>
      </c>
      <c r="C113" s="11"/>
      <c r="D113" s="50">
        <f>SUMPRODUCT(($E$4:$E$103="히든힐스눈놀이PKG")*($K$4:$K$103))</f>
        <v>0</v>
      </c>
      <c r="E113" s="50">
        <f>I113/1.1</f>
        <v>0</v>
      </c>
      <c r="F113" s="51">
        <f t="shared" si="7"/>
        <v>0</v>
      </c>
      <c r="G113" s="51"/>
      <c r="H113" s="51"/>
      <c r="I113" s="50">
        <f>SUMPRODUCT(($E$4:$E$103="히든힐스눈놀이PKG")*($Q$4:$Q$103))</f>
        <v>0</v>
      </c>
      <c r="J113" s="50"/>
      <c r="K113" s="51">
        <f t="shared" si="8"/>
        <v>0</v>
      </c>
      <c r="U113" s="1"/>
    </row>
    <row r="114" spans="2:21" x14ac:dyDescent="0.25">
      <c r="B114" s="43" t="s">
        <v>33</v>
      </c>
      <c r="C114" s="43"/>
      <c r="D114" s="45">
        <f t="shared" ref="D114:I114" si="9">SUM(D108:D113)</f>
        <v>0</v>
      </c>
      <c r="E114" s="45">
        <f t="shared" si="9"/>
        <v>0</v>
      </c>
      <c r="F114" s="45">
        <f t="shared" si="9"/>
        <v>0</v>
      </c>
      <c r="G114" s="45">
        <f t="shared" si="9"/>
        <v>0</v>
      </c>
      <c r="H114" s="45">
        <f t="shared" si="9"/>
        <v>0</v>
      </c>
      <c r="I114" s="46">
        <f t="shared" si="9"/>
        <v>0</v>
      </c>
      <c r="J114" s="46"/>
      <c r="K114" s="47">
        <f>D114-I114</f>
        <v>0</v>
      </c>
      <c r="U114" s="1"/>
    </row>
    <row r="115" spans="21:21" x14ac:dyDescent="0.25">
      <c r="U115" s="1"/>
    </row>
    <row r="116" spans="2:2" x14ac:dyDescent="0.25">
      <c r="B116" s="2" t="s">
        <v>34</v>
      </c>
    </row>
    <row r="117" spans="2:20" x14ac:dyDescent="0.25">
      <c r="B117" s="49" t="s">
        <v>6</v>
      </c>
      <c r="C117" s="49"/>
      <c r="D117" s="49" t="s">
        <v>35</v>
      </c>
      <c r="E117" s="49" t="s">
        <v>36</v>
      </c>
      <c r="F117" s="49" t="s">
        <v>37</v>
      </c>
      <c r="G117" s="49"/>
      <c r="H117" s="49"/>
      <c r="I117" s="49" t="s">
        <v>38</v>
      </c>
      <c r="J117" s="49"/>
      <c r="K117" s="49" t="s">
        <v>39</v>
      </c>
      <c r="L117" s="49"/>
      <c r="M117" s="49"/>
      <c r="N117" s="49"/>
      <c r="O117" s="49"/>
      <c r="P117" s="49"/>
      <c r="Q117" s="49" t="s">
        <v>40</v>
      </c>
      <c r="R117" s="53" t="s">
        <v>41</v>
      </c>
      <c r="S117" s="53" t="s">
        <v>42</v>
      </c>
      <c r="T117" s="49" t="s">
        <v>33</v>
      </c>
    </row>
    <row r="118" spans="2:20" x14ac:dyDescent="0.25">
      <c r="B118" s="11" t="s">
        <v>1</v>
      </c>
      <c r="C118" s="11"/>
      <c r="D118" s="51">
        <f>I108*D129</f>
        <v>0</v>
      </c>
      <c r="E118" s="51">
        <v>0</v>
      </c>
      <c r="F118" s="51">
        <v>0</v>
      </c>
      <c r="G118" s="51"/>
      <c r="H118" s="51"/>
      <c r="I118" s="51">
        <v>0</v>
      </c>
      <c r="J118" s="51"/>
      <c r="K118" s="51">
        <v>0</v>
      </c>
      <c r="L118" s="51"/>
      <c r="M118" s="51"/>
      <c r="N118" s="51"/>
      <c r="O118" s="51"/>
      <c r="P118" s="51"/>
      <c r="Q118" s="51">
        <v>0</v>
      </c>
      <c r="R118" s="51">
        <v>0</v>
      </c>
      <c r="S118" s="51">
        <v>0</v>
      </c>
      <c r="T118" s="51">
        <f>S118+R118+Q118+K118+I118+F118+E118+D118</f>
        <v>0</v>
      </c>
    </row>
    <row r="119" spans="2:20" x14ac:dyDescent="0.25">
      <c r="B119" s="11" t="s">
        <v>24</v>
      </c>
      <c r="C119" s="11"/>
      <c r="D119" s="54">
        <f>I109*D233</f>
        <v>0</v>
      </c>
      <c r="E119" s="51">
        <v>0</v>
      </c>
      <c r="F119" s="51">
        <v>0</v>
      </c>
      <c r="G119" s="51"/>
      <c r="H119" s="51"/>
      <c r="I119" s="51">
        <v>0</v>
      </c>
      <c r="J119" s="51"/>
      <c r="K119" s="51">
        <v>0</v>
      </c>
      <c r="L119" s="51"/>
      <c r="M119" s="51"/>
      <c r="N119" s="51"/>
      <c r="O119" s="51"/>
      <c r="P119" s="51"/>
      <c r="Q119" s="51">
        <v>0</v>
      </c>
      <c r="R119" s="51">
        <v>0</v>
      </c>
      <c r="S119" s="54">
        <v>0</v>
      </c>
      <c r="T119" s="51">
        <f t="shared" ref="T119:T123" si="10">S119+R119+Q119+K119+I119+F119+E119+D119</f>
        <v>0</v>
      </c>
    </row>
    <row r="120" spans="2:20" x14ac:dyDescent="0.25">
      <c r="B120" s="11" t="s">
        <v>20</v>
      </c>
      <c r="C120" s="11"/>
      <c r="D120" s="51">
        <v>0</v>
      </c>
      <c r="E120" s="51">
        <f>I110*D209</f>
        <v>0</v>
      </c>
      <c r="F120" s="51">
        <v>0</v>
      </c>
      <c r="G120" s="51"/>
      <c r="H120" s="51"/>
      <c r="I120" s="51">
        <v>0</v>
      </c>
      <c r="J120" s="51"/>
      <c r="K120" s="51">
        <v>0</v>
      </c>
      <c r="L120" s="51"/>
      <c r="M120" s="51"/>
      <c r="N120" s="51"/>
      <c r="O120" s="51"/>
      <c r="P120" s="51"/>
      <c r="Q120" s="51">
        <v>0</v>
      </c>
      <c r="R120" s="51">
        <v>0</v>
      </c>
      <c r="S120" s="51">
        <v>0</v>
      </c>
      <c r="T120" s="51">
        <f t="shared" si="10"/>
        <v>0</v>
      </c>
    </row>
    <row r="121" spans="2:20" x14ac:dyDescent="0.25">
      <c r="B121" s="52" t="s">
        <v>22</v>
      </c>
      <c r="C121" s="11"/>
      <c r="D121" s="51">
        <v>0</v>
      </c>
      <c r="E121" s="51">
        <f>I111*D215</f>
        <v>0</v>
      </c>
      <c r="F121" s="51">
        <f>I111*E239</f>
        <v>0</v>
      </c>
      <c r="G121" s="51"/>
      <c r="H121" s="51"/>
      <c r="I121" s="51">
        <v>0</v>
      </c>
      <c r="J121" s="51"/>
      <c r="K121" s="51">
        <f>I111*I239</f>
        <v>0</v>
      </c>
      <c r="L121" s="51"/>
      <c r="M121" s="51"/>
      <c r="N121" s="51"/>
      <c r="O121" s="51"/>
      <c r="P121" s="51"/>
      <c r="Q121" s="51">
        <v>0</v>
      </c>
      <c r="R121" s="51">
        <v>0</v>
      </c>
      <c r="S121" s="51">
        <v>0</v>
      </c>
      <c r="T121" s="51">
        <f t="shared" si="10"/>
        <v>0</v>
      </c>
    </row>
    <row r="122" spans="2:20" x14ac:dyDescent="0.25">
      <c r="B122" s="11" t="s">
        <v>23</v>
      </c>
      <c r="C122" s="11"/>
      <c r="D122" s="51">
        <v>0</v>
      </c>
      <c r="E122" s="51">
        <f>I112*D221</f>
        <v>0</v>
      </c>
      <c r="F122" s="51">
        <f>I112*E245</f>
        <v>0</v>
      </c>
      <c r="G122" s="51">
        <f t="shared" ref="G122:H122" si="11">J112*F183</f>
        <v>0</v>
      </c>
      <c r="H122" s="51" t="e">
        <f t="shared" si="11"/>
        <v>#DIV/0!</v>
      </c>
      <c r="I122" s="51">
        <v>0</v>
      </c>
      <c r="J122" s="51" t="e">
        <f t="shared" ref="J122" si="12">J112*G183</f>
        <v>#DIV/0!</v>
      </c>
      <c r="K122" s="51">
        <v>0</v>
      </c>
      <c r="L122" s="51"/>
      <c r="M122" s="51"/>
      <c r="N122" s="51"/>
      <c r="O122" s="51"/>
      <c r="P122" s="51"/>
      <c r="Q122" s="51">
        <v>0</v>
      </c>
      <c r="R122" s="51">
        <v>0</v>
      </c>
      <c r="S122" s="51">
        <v>0</v>
      </c>
      <c r="T122" s="51">
        <f t="shared" si="10"/>
        <v>0</v>
      </c>
    </row>
    <row r="123" spans="2:20" x14ac:dyDescent="0.25">
      <c r="B123" s="11" t="s">
        <v>32</v>
      </c>
      <c r="C123" s="11"/>
      <c r="D123" s="51">
        <v>0</v>
      </c>
      <c r="E123" s="51">
        <f>I113*D227</f>
        <v>0</v>
      </c>
      <c r="F123" s="51">
        <v>0</v>
      </c>
      <c r="G123" s="51"/>
      <c r="H123" s="51"/>
      <c r="I123" s="51">
        <v>0</v>
      </c>
      <c r="J123" s="51"/>
      <c r="K123" s="51">
        <v>0</v>
      </c>
      <c r="L123" s="51"/>
      <c r="M123" s="51"/>
      <c r="N123" s="51"/>
      <c r="O123" s="51"/>
      <c r="P123" s="51"/>
      <c r="Q123" s="51">
        <f>I113*E227</f>
        <v>0</v>
      </c>
      <c r="R123" s="51">
        <f>I113*F227</f>
        <v>0</v>
      </c>
      <c r="S123" s="51">
        <v>0</v>
      </c>
      <c r="T123" s="51">
        <f t="shared" si="10"/>
        <v>0</v>
      </c>
    </row>
    <row r="124" spans="2:20" x14ac:dyDescent="0.25">
      <c r="B124" s="43" t="s">
        <v>33</v>
      </c>
      <c r="C124" s="43"/>
      <c r="D124" s="45">
        <f>SUM(D118:D123)</f>
        <v>0</v>
      </c>
      <c r="E124" s="45">
        <f>SUM(E118:E123)</f>
        <v>0</v>
      </c>
      <c r="F124" s="45">
        <f>SUM(F118:F123)</f>
        <v>0</v>
      </c>
      <c r="G124" s="45"/>
      <c r="H124" s="45"/>
      <c r="I124" s="45">
        <f>SUM(I118:I123)</f>
        <v>0</v>
      </c>
      <c r="J124" s="45" t="e">
        <f t="shared" ref="J124:R124" si="13">SUM(J118:J123)</f>
        <v>#DIV/0!</v>
      </c>
      <c r="K124" s="45">
        <f t="shared" si="13"/>
        <v>0</v>
      </c>
      <c r="L124" s="45">
        <f t="shared" si="13"/>
        <v>0</v>
      </c>
      <c r="M124" s="45">
        <f t="shared" si="13"/>
        <v>0</v>
      </c>
      <c r="N124" s="45">
        <f t="shared" si="13"/>
        <v>0</v>
      </c>
      <c r="O124" s="45">
        <f t="shared" si="13"/>
        <v>0</v>
      </c>
      <c r="P124" s="45">
        <f t="shared" si="13"/>
        <v>0</v>
      </c>
      <c r="Q124" s="45">
        <f t="shared" si="13"/>
        <v>0</v>
      </c>
      <c r="R124" s="45">
        <f t="shared" si="13"/>
        <v>0</v>
      </c>
      <c r="S124" s="45">
        <v>0</v>
      </c>
      <c r="T124" s="46">
        <f>SUM(T118:T123)</f>
        <v>0</v>
      </c>
    </row>
    <row r="126" spans="9:10" x14ac:dyDescent="0.25">
      <c r="I126" s="55"/>
      <c r="J126" s="55"/>
    </row>
    <row r="127" ht="14.25" customHeight="1" spans="2:2" x14ac:dyDescent="0.25">
      <c r="B127" s="56" t="s">
        <v>43</v>
      </c>
    </row>
    <row r="128" ht="14.25" customHeight="1" spans="2:4" x14ac:dyDescent="0.25">
      <c r="B128" s="1" t="s">
        <v>5</v>
      </c>
      <c r="D128" s="1" t="s">
        <v>35</v>
      </c>
    </row>
    <row r="129" ht="14.25" customHeight="1" spans="2:4" x14ac:dyDescent="0.25">
      <c r="B129" s="1">
        <v>48</v>
      </c>
      <c r="D129" s="57">
        <v>1</v>
      </c>
    </row>
    <row r="130" ht="14.25" customHeight="1" x14ac:dyDescent="0.25"/>
    <row r="131" ht="14.25" customHeight="1" spans="2:2" x14ac:dyDescent="0.25">
      <c r="B131" s="2" t="s">
        <v>44</v>
      </c>
    </row>
    <row r="132" ht="14.25" customHeight="1" spans="2:4" x14ac:dyDescent="0.25">
      <c r="B132" s="1" t="s">
        <v>5</v>
      </c>
      <c r="D132" s="1" t="s">
        <v>35</v>
      </c>
    </row>
    <row r="133" ht="14.25" customHeight="1" spans="2:4" x14ac:dyDescent="0.25">
      <c r="B133" s="1" t="s">
        <v>1</v>
      </c>
      <c r="D133" s="57">
        <v>1</v>
      </c>
    </row>
    <row r="134" ht="14.25" customHeight="1" hidden="1" x14ac:dyDescent="0.25"/>
    <row r="135" ht="14.25" customHeight="1" hidden="1" spans="2:2" x14ac:dyDescent="0.25">
      <c r="B135" s="2" t="s">
        <v>45</v>
      </c>
    </row>
    <row r="136" ht="14.25" customHeight="1" hidden="1" spans="2:6" x14ac:dyDescent="0.25">
      <c r="B136" s="1" t="s">
        <v>5</v>
      </c>
      <c r="D136" s="1" t="s">
        <v>35</v>
      </c>
      <c r="E136" s="1" t="s">
        <v>46</v>
      </c>
      <c r="F136" s="1" t="s">
        <v>25</v>
      </c>
    </row>
    <row r="137" ht="14.25" customHeight="1" hidden="1" spans="2:6" x14ac:dyDescent="0.25">
      <c r="B137" s="1" t="s">
        <v>47</v>
      </c>
      <c r="D137" s="58">
        <v>82000</v>
      </c>
      <c r="E137" s="58">
        <v>24000</v>
      </c>
      <c r="F137" s="59">
        <v>106000</v>
      </c>
    </row>
    <row r="138" ht="14.25" customHeight="1" hidden="1" spans="2:6" x14ac:dyDescent="0.25">
      <c r="B138" s="60" t="s">
        <v>47</v>
      </c>
      <c r="C138" s="61">
        <v>82000</v>
      </c>
      <c r="D138" s="62">
        <f>D137/F137</f>
        <v>0.7735849056603774</v>
      </c>
      <c r="E138" s="62">
        <f>E137/F137</f>
        <v>0.22641509433962265</v>
      </c>
      <c r="F138" s="63">
        <f>D138+E138</f>
        <v>1</v>
      </c>
    </row>
    <row r="139" ht="14.25" customHeight="1" hidden="1" x14ac:dyDescent="0.25"/>
    <row r="140" ht="14.25" customHeight="1" hidden="1" spans="2:2" x14ac:dyDescent="0.25">
      <c r="B140" s="2" t="s">
        <v>48</v>
      </c>
    </row>
    <row r="141" ht="14.25" customHeight="1" hidden="1" spans="2:6" x14ac:dyDescent="0.25">
      <c r="B141" s="1" t="s">
        <v>5</v>
      </c>
      <c r="D141" s="1" t="s">
        <v>35</v>
      </c>
      <c r="E141" s="1" t="s">
        <v>42</v>
      </c>
      <c r="F141" s="1" t="s">
        <v>25</v>
      </c>
    </row>
    <row r="142" ht="14.25" customHeight="1" hidden="1" spans="2:6" x14ac:dyDescent="0.25">
      <c r="B142" s="1" t="s">
        <v>47</v>
      </c>
      <c r="D142" s="58">
        <v>76000</v>
      </c>
      <c r="E142" s="58">
        <v>54000</v>
      </c>
      <c r="F142" s="59">
        <v>130000</v>
      </c>
    </row>
    <row r="143" ht="14.25" customHeight="1" hidden="1" spans="2:6" x14ac:dyDescent="0.25">
      <c r="B143" s="60" t="s">
        <v>47</v>
      </c>
      <c r="C143" s="61">
        <v>82000</v>
      </c>
      <c r="D143" s="62">
        <f>D142/F142</f>
        <v>0.5846153846153846</v>
      </c>
      <c r="E143" s="62">
        <f>E142/F142</f>
        <v>0.4153846153846154</v>
      </c>
      <c r="F143" s="63">
        <f>D143+E143</f>
        <v>1</v>
      </c>
    </row>
    <row r="144" ht="14.25" customHeight="1" hidden="1" x14ac:dyDescent="0.25"/>
    <row r="145" ht="14.25" customHeight="1" hidden="1" spans="2:2" x14ac:dyDescent="0.25">
      <c r="B145" s="2" t="s">
        <v>49</v>
      </c>
    </row>
    <row r="146" ht="14.25" customHeight="1" hidden="1" spans="2:9" x14ac:dyDescent="0.25">
      <c r="B146" s="1" t="s">
        <v>5</v>
      </c>
      <c r="D146" s="1" t="s">
        <v>35</v>
      </c>
      <c r="E146" s="1" t="s">
        <v>50</v>
      </c>
      <c r="F146" s="1" t="s">
        <v>51</v>
      </c>
      <c r="I146" s="1" t="s">
        <v>25</v>
      </c>
    </row>
    <row r="147" ht="14.25" customHeight="1" hidden="1" spans="2:13" x14ac:dyDescent="0.25">
      <c r="B147" s="1" t="s">
        <v>47</v>
      </c>
      <c r="D147" s="58">
        <v>47000</v>
      </c>
      <c r="E147" s="58">
        <v>22000</v>
      </c>
      <c r="F147" s="59">
        <v>5000</v>
      </c>
      <c r="I147" s="59">
        <v>74000</v>
      </c>
      <c r="M147" s="59"/>
    </row>
    <row r="148" ht="14.25" customHeight="1" hidden="1" spans="2:13" x14ac:dyDescent="0.25">
      <c r="B148" s="60" t="s">
        <v>47</v>
      </c>
      <c r="C148" s="61">
        <v>82000</v>
      </c>
      <c r="D148" s="62">
        <f>D147/I147</f>
        <v>0.6351351351351351</v>
      </c>
      <c r="E148" s="62">
        <f>E147/I147</f>
        <v>0.2972972972972973</v>
      </c>
      <c r="F148" s="62">
        <f>F147/I147</f>
        <v>0.06756756756756757</v>
      </c>
      <c r="I148" s="63">
        <f>D148+E148+F148</f>
        <v>1</v>
      </c>
      <c r="M148" s="63"/>
    </row>
    <row r="149" ht="14.25" customHeight="1" hidden="1" x14ac:dyDescent="0.25"/>
    <row r="150" hidden="1" spans="2:2" x14ac:dyDescent="0.25">
      <c r="B150" s="2" t="s">
        <v>52</v>
      </c>
    </row>
    <row r="151" hidden="1" spans="2:9" x14ac:dyDescent="0.25">
      <c r="B151" s="1" t="s">
        <v>5</v>
      </c>
      <c r="D151" s="1" t="s">
        <v>35</v>
      </c>
      <c r="E151" s="1" t="s">
        <v>50</v>
      </c>
      <c r="F151" s="1" t="s">
        <v>51</v>
      </c>
      <c r="I151" s="1" t="s">
        <v>25</v>
      </c>
    </row>
    <row r="152" hidden="1" spans="2:13" x14ac:dyDescent="0.25">
      <c r="B152" s="1" t="s">
        <v>47</v>
      </c>
      <c r="D152" s="58">
        <v>47000</v>
      </c>
      <c r="E152" s="58">
        <v>22000</v>
      </c>
      <c r="F152" s="59">
        <v>5000</v>
      </c>
      <c r="I152" s="59">
        <v>74000</v>
      </c>
      <c r="M152" s="59"/>
    </row>
    <row r="153" hidden="1" spans="2:13" x14ac:dyDescent="0.25">
      <c r="B153" s="60" t="s">
        <v>47</v>
      </c>
      <c r="C153" s="61">
        <v>82000</v>
      </c>
      <c r="D153" s="62">
        <f>D152/I152</f>
        <v>0.6351351351351351</v>
      </c>
      <c r="E153" s="62">
        <f>E152/I152</f>
        <v>0.2972972972972973</v>
      </c>
      <c r="F153" s="62">
        <f>F152/I152</f>
        <v>0.06756756756756757</v>
      </c>
      <c r="I153" s="63">
        <f>D153+E153+F153</f>
        <v>1</v>
      </c>
      <c r="M153" s="63"/>
    </row>
    <row r="155" hidden="1" spans="2:2" x14ac:dyDescent="0.25">
      <c r="B155" s="2" t="s">
        <v>53</v>
      </c>
    </row>
    <row r="156" hidden="1" spans="2:9" x14ac:dyDescent="0.25">
      <c r="B156" s="1" t="s">
        <v>5</v>
      </c>
      <c r="D156" s="1" t="s">
        <v>35</v>
      </c>
      <c r="E156" s="1" t="s">
        <v>42</v>
      </c>
      <c r="F156" s="1" t="s">
        <v>54</v>
      </c>
      <c r="I156" s="1" t="s">
        <v>25</v>
      </c>
    </row>
    <row r="157" hidden="1" spans="2:13" x14ac:dyDescent="0.25">
      <c r="B157" s="1" t="s">
        <v>47</v>
      </c>
      <c r="D157" s="58">
        <v>60000</v>
      </c>
      <c r="E157" s="58">
        <v>48600</v>
      </c>
      <c r="F157" s="59">
        <v>12000</v>
      </c>
      <c r="I157" s="59">
        <f>F157+E157+D157</f>
        <v>120600</v>
      </c>
      <c r="M157" s="59"/>
    </row>
    <row r="158" hidden="1" spans="2:13" x14ac:dyDescent="0.25">
      <c r="B158" s="60" t="s">
        <v>47</v>
      </c>
      <c r="C158" s="61">
        <v>82000</v>
      </c>
      <c r="D158" s="62">
        <f>D157/I157</f>
        <v>0.4975124378109453</v>
      </c>
      <c r="E158" s="62">
        <f>E157/I157</f>
        <v>0.40298507462686567</v>
      </c>
      <c r="F158" s="62">
        <f>F157/I157</f>
        <v>0.09950248756218906</v>
      </c>
      <c r="I158" s="63">
        <f>D158+E158+F158</f>
        <v>1</v>
      </c>
      <c r="M158" s="63"/>
    </row>
    <row r="160" hidden="1" spans="2:2" x14ac:dyDescent="0.25">
      <c r="B160" s="2" t="s">
        <v>55</v>
      </c>
    </row>
    <row r="161" hidden="1" spans="2:9" x14ac:dyDescent="0.25">
      <c r="B161" s="1" t="s">
        <v>5</v>
      </c>
      <c r="D161" s="1" t="s">
        <v>35</v>
      </c>
      <c r="E161" s="1" t="s">
        <v>56</v>
      </c>
      <c r="F161" s="1" t="s">
        <v>57</v>
      </c>
      <c r="I161" s="1" t="s">
        <v>25</v>
      </c>
    </row>
    <row r="162" hidden="1" spans="2:13" x14ac:dyDescent="0.25">
      <c r="B162" s="1" t="s">
        <v>47</v>
      </c>
      <c r="D162" s="58">
        <v>60000</v>
      </c>
      <c r="E162" s="58">
        <v>20000</v>
      </c>
      <c r="F162" s="59">
        <v>12000</v>
      </c>
      <c r="I162" s="59">
        <f>F162+E162+D162</f>
        <v>92000</v>
      </c>
      <c r="M162" s="59"/>
    </row>
    <row r="163" hidden="1" spans="2:13" x14ac:dyDescent="0.25">
      <c r="B163" s="60" t="s">
        <v>47</v>
      </c>
      <c r="C163" s="61">
        <v>82000</v>
      </c>
      <c r="D163" s="62">
        <f>D162/I162</f>
        <v>0.6521739130434783</v>
      </c>
      <c r="E163" s="62">
        <f>E162/I162</f>
        <v>0.21739130434782608</v>
      </c>
      <c r="F163" s="62">
        <f>F162/I162</f>
        <v>0.13043478260869565</v>
      </c>
      <c r="I163" s="63">
        <f>D163+E163+F163</f>
        <v>1</v>
      </c>
      <c r="M163" s="63"/>
    </row>
    <row r="165" hidden="1" spans="1:22" s="2" customFormat="1" x14ac:dyDescent="0.25">
      <c r="A165" s="1"/>
      <c r="B165" s="2" t="s">
        <v>58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V165" s="1"/>
    </row>
    <row r="166" hidden="1" spans="1:22" s="2" customFormat="1" x14ac:dyDescent="0.25">
      <c r="A166" s="1"/>
      <c r="B166" s="1" t="s">
        <v>5</v>
      </c>
      <c r="C166" s="1"/>
      <c r="D166" s="1" t="s">
        <v>35</v>
      </c>
      <c r="E166" s="1" t="s">
        <v>59</v>
      </c>
      <c r="F166" s="1" t="s">
        <v>60</v>
      </c>
      <c r="G166" s="1"/>
      <c r="H166" s="1"/>
      <c r="I166" s="1" t="s">
        <v>61</v>
      </c>
      <c r="J166" s="1"/>
      <c r="K166" s="1" t="s">
        <v>25</v>
      </c>
      <c r="L166" s="1"/>
      <c r="M166" s="1"/>
      <c r="N166" s="1"/>
      <c r="O166" s="1"/>
      <c r="P166" s="1"/>
      <c r="Q166" s="1"/>
      <c r="R166" s="1"/>
      <c r="S166" s="1"/>
      <c r="T166" s="1"/>
      <c r="V166" s="1"/>
    </row>
    <row r="167" hidden="1" spans="1:22" s="2" customFormat="1" x14ac:dyDescent="0.25">
      <c r="A167" s="1"/>
      <c r="B167" s="1" t="s">
        <v>47</v>
      </c>
      <c r="C167" s="1"/>
      <c r="D167" s="58">
        <v>76000</v>
      </c>
      <c r="E167" s="58">
        <v>72000</v>
      </c>
      <c r="F167" s="59">
        <v>28000</v>
      </c>
      <c r="G167" s="1"/>
      <c r="H167" s="1"/>
      <c r="I167" s="59"/>
      <c r="J167" s="1"/>
      <c r="K167" s="59">
        <v>176000</v>
      </c>
      <c r="L167" s="1"/>
      <c r="M167" s="1"/>
      <c r="N167" s="1"/>
      <c r="O167" s="1"/>
      <c r="P167" s="1"/>
      <c r="Q167" s="1"/>
      <c r="R167" s="1"/>
      <c r="S167" s="1"/>
      <c r="T167" s="1"/>
      <c r="V167" s="1"/>
    </row>
    <row r="168" hidden="1" spans="1:22" s="2" customFormat="1" x14ac:dyDescent="0.25">
      <c r="A168" s="1"/>
      <c r="B168" s="60" t="s">
        <v>47</v>
      </c>
      <c r="C168" s="61">
        <v>82000</v>
      </c>
      <c r="D168" s="62">
        <f>D167/K167</f>
        <v>0.4318181818181818</v>
      </c>
      <c r="E168" s="62">
        <f>E167/K167</f>
        <v>0.4090909090909091</v>
      </c>
      <c r="F168" s="62">
        <f>F167/K167</f>
        <v>0.1590909090909091</v>
      </c>
      <c r="G168" s="1"/>
      <c r="H168" s="1"/>
      <c r="I168" s="62">
        <f>I167/K167</f>
        <v>0</v>
      </c>
      <c r="J168" s="1"/>
      <c r="K168" s="63">
        <f>D168+E168+F168+I168</f>
        <v>1</v>
      </c>
      <c r="L168" s="1"/>
      <c r="M168" s="1"/>
      <c r="N168" s="1"/>
      <c r="O168" s="1"/>
      <c r="P168" s="1"/>
      <c r="Q168" s="1"/>
      <c r="R168" s="1"/>
      <c r="S168" s="1"/>
      <c r="T168" s="1"/>
      <c r="V168" s="1"/>
    </row>
    <row r="169" hidden="1" spans="1:22" s="2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V169" s="1"/>
    </row>
    <row r="170" hidden="1" spans="1:22" s="2" customFormat="1" x14ac:dyDescent="0.25">
      <c r="A170" s="1"/>
      <c r="B170" s="2" t="s">
        <v>62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V170" s="1"/>
    </row>
    <row r="171" hidden="1" spans="1:22" s="2" customFormat="1" x14ac:dyDescent="0.25">
      <c r="A171" s="1"/>
      <c r="B171" s="1" t="s">
        <v>5</v>
      </c>
      <c r="C171" s="1"/>
      <c r="D171" s="1" t="s">
        <v>35</v>
      </c>
      <c r="E171" s="1" t="s">
        <v>50</v>
      </c>
      <c r="F171" s="1" t="s">
        <v>59</v>
      </c>
      <c r="G171" s="1"/>
      <c r="H171" s="1"/>
      <c r="I171" s="1" t="s">
        <v>60</v>
      </c>
      <c r="J171" s="1"/>
      <c r="K171" s="1" t="s">
        <v>63</v>
      </c>
      <c r="L171" s="1"/>
      <c r="M171" s="1"/>
      <c r="N171" s="1"/>
      <c r="O171" s="1"/>
      <c r="P171" s="1"/>
      <c r="Q171" s="1" t="s">
        <v>57</v>
      </c>
      <c r="R171" s="1" t="s">
        <v>61</v>
      </c>
      <c r="S171" s="1"/>
      <c r="T171" s="1" t="s">
        <v>25</v>
      </c>
      <c r="V171" s="1"/>
    </row>
    <row r="172" hidden="1" spans="1:22" s="2" customFormat="1" x14ac:dyDescent="0.25">
      <c r="A172" s="1"/>
      <c r="B172" s="1" t="s">
        <v>47</v>
      </c>
      <c r="C172" s="1"/>
      <c r="D172" s="58">
        <v>76000</v>
      </c>
      <c r="E172" s="58">
        <v>26000</v>
      </c>
      <c r="F172" s="59">
        <v>72000</v>
      </c>
      <c r="G172" s="1"/>
      <c r="H172" s="1"/>
      <c r="I172" s="59">
        <v>28000</v>
      </c>
      <c r="J172" s="1"/>
      <c r="K172" s="59">
        <v>30000</v>
      </c>
      <c r="L172" s="1"/>
      <c r="M172" s="1"/>
      <c r="N172" s="1"/>
      <c r="O172" s="1"/>
      <c r="P172" s="1"/>
      <c r="Q172" s="1">
        <v>12000</v>
      </c>
      <c r="R172" s="1"/>
      <c r="S172" s="1"/>
      <c r="T172" s="59">
        <v>244000</v>
      </c>
      <c r="V172" s="1"/>
    </row>
    <row r="173" hidden="1" spans="1:22" s="2" customFormat="1" x14ac:dyDescent="0.25">
      <c r="A173" s="1"/>
      <c r="B173" s="60" t="s">
        <v>47</v>
      </c>
      <c r="C173" s="61">
        <v>82000</v>
      </c>
      <c r="D173" s="62">
        <f>D172/T172</f>
        <v>0.3114754098360656</v>
      </c>
      <c r="E173" s="62">
        <f>E172/T172</f>
        <v>0.10655737704918032</v>
      </c>
      <c r="F173" s="62">
        <f>F172/T172</f>
        <v>0.29508196721311475</v>
      </c>
      <c r="G173" s="1"/>
      <c r="H173" s="1"/>
      <c r="I173" s="62">
        <f>I172/T172</f>
        <v>0.11475409836065574</v>
      </c>
      <c r="J173" s="1"/>
      <c r="K173" s="62">
        <f>K172/T172</f>
        <v>0.12295081967213115</v>
      </c>
      <c r="L173" s="1"/>
      <c r="M173" s="1"/>
      <c r="N173" s="1"/>
      <c r="O173" s="1"/>
      <c r="P173" s="1"/>
      <c r="Q173" s="62">
        <f>Q172/T172</f>
        <v>0.04918032786885246</v>
      </c>
      <c r="R173" s="62">
        <f>R172/T172</f>
        <v>0</v>
      </c>
      <c r="S173" s="62"/>
      <c r="T173" s="63">
        <f>D173+E173+F173+I173+K173+Q173+R173</f>
        <v>1</v>
      </c>
      <c r="V173" s="1"/>
    </row>
    <row r="175" hidden="1" spans="1:22" s="2" customFormat="1" x14ac:dyDescent="0.25">
      <c r="A175" s="1"/>
      <c r="B175" s="2" t="s">
        <v>64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V175" s="1"/>
    </row>
    <row r="176" hidden="1" spans="1:22" s="2" customFormat="1" x14ac:dyDescent="0.25">
      <c r="A176" s="1"/>
      <c r="B176" s="1" t="s">
        <v>5</v>
      </c>
      <c r="C176" s="1"/>
      <c r="D176" s="1" t="s">
        <v>35</v>
      </c>
      <c r="E176" s="1" t="s">
        <v>50</v>
      </c>
      <c r="F176" s="1" t="s">
        <v>42</v>
      </c>
      <c r="G176" s="1"/>
      <c r="H176" s="1"/>
      <c r="I176" s="1" t="s">
        <v>25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V176" s="1"/>
    </row>
    <row r="177" hidden="1" spans="1:22" s="2" customFormat="1" x14ac:dyDescent="0.25">
      <c r="A177" s="1"/>
      <c r="B177" s="1" t="s">
        <v>47</v>
      </c>
      <c r="C177" s="1"/>
      <c r="D177" s="58">
        <v>72000</v>
      </c>
      <c r="E177" s="58">
        <v>28000</v>
      </c>
      <c r="F177" s="59">
        <v>48000</v>
      </c>
      <c r="G177" s="1"/>
      <c r="H177" s="1"/>
      <c r="I177" s="59">
        <f>F177+E177+D177</f>
        <v>148000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V177" s="1"/>
    </row>
    <row r="178" hidden="1" spans="1:22" s="2" customFormat="1" x14ac:dyDescent="0.25">
      <c r="A178" s="1"/>
      <c r="B178" s="60" t="s">
        <v>47</v>
      </c>
      <c r="C178" s="61">
        <v>82000</v>
      </c>
      <c r="D178" s="62">
        <f>D177/I177</f>
        <v>0.4864864864864865</v>
      </c>
      <c r="E178" s="62">
        <f>E177/I177</f>
        <v>0.1891891891891892</v>
      </c>
      <c r="F178" s="62">
        <f>F177/I177</f>
        <v>0.32432432432432434</v>
      </c>
      <c r="G178" s="1"/>
      <c r="H178" s="1"/>
      <c r="I178" s="63">
        <f>D178+E178+F178</f>
        <v>1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V178" s="1"/>
    </row>
    <row r="180" hidden="1" spans="1:22" s="2" customFormat="1" x14ac:dyDescent="0.25">
      <c r="A180" s="1"/>
      <c r="B180" s="2" t="s">
        <v>65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V180" s="1"/>
    </row>
    <row r="181" hidden="1" spans="1:22" s="2" customFormat="1" x14ac:dyDescent="0.25">
      <c r="A181" s="1"/>
      <c r="B181" s="1" t="s">
        <v>5</v>
      </c>
      <c r="C181" s="1"/>
      <c r="D181" s="1" t="s">
        <v>35</v>
      </c>
      <c r="E181" s="1" t="s">
        <v>42</v>
      </c>
      <c r="F181" s="1" t="s">
        <v>66</v>
      </c>
      <c r="G181" s="1"/>
      <c r="H181" s="1"/>
      <c r="I181" s="1" t="s">
        <v>67</v>
      </c>
      <c r="J181" s="1"/>
      <c r="K181" s="1" t="s">
        <v>25</v>
      </c>
      <c r="L181" s="1"/>
      <c r="M181" s="1"/>
      <c r="N181" s="1"/>
      <c r="O181" s="1"/>
      <c r="P181" s="1"/>
      <c r="R181" s="1"/>
      <c r="S181" s="1"/>
      <c r="T181" s="1"/>
      <c r="V181" s="1"/>
    </row>
    <row r="182" hidden="1" spans="1:22" s="2" customFormat="1" x14ac:dyDescent="0.25">
      <c r="A182" s="1"/>
      <c r="B182" s="1" t="s">
        <v>47</v>
      </c>
      <c r="C182" s="1"/>
      <c r="D182" s="58">
        <v>115000</v>
      </c>
      <c r="E182" s="59">
        <v>65000</v>
      </c>
      <c r="F182" s="59">
        <v>28000</v>
      </c>
      <c r="G182" s="1"/>
      <c r="H182" s="1"/>
      <c r="I182" s="59">
        <v>14000</v>
      </c>
      <c r="J182" s="1"/>
      <c r="K182" s="59">
        <f>E182+D182+F182+I182</f>
        <v>222000</v>
      </c>
      <c r="L182" s="1"/>
      <c r="M182" s="1"/>
      <c r="N182" s="1"/>
      <c r="O182" s="1"/>
      <c r="P182" s="1"/>
      <c r="R182" s="1"/>
      <c r="S182" s="1"/>
      <c r="T182" s="1"/>
      <c r="V182" s="1"/>
    </row>
    <row r="183" hidden="1" spans="1:22" s="2" customFormat="1" x14ac:dyDescent="0.25">
      <c r="A183" s="1"/>
      <c r="B183" s="60" t="s">
        <v>47</v>
      </c>
      <c r="C183" s="61">
        <v>82000</v>
      </c>
      <c r="D183" s="62">
        <f>D182/K182</f>
        <v>0.5180180180180181</v>
      </c>
      <c r="E183" s="62">
        <f>E182/K182</f>
        <v>0.2927927927927928</v>
      </c>
      <c r="F183" s="62">
        <f>F182/K182</f>
        <v>0.12612612612612611</v>
      </c>
      <c r="G183" s="62" t="e">
        <f t="shared" ref="G183:H183" si="14">G182/M182</f>
        <v>#DIV/0!</v>
      </c>
      <c r="H183" s="62" t="e">
        <f t="shared" si="14"/>
        <v>#DIV/0!</v>
      </c>
      <c r="I183" s="62">
        <f>I182/K182</f>
        <v>0.06306306306306306</v>
      </c>
      <c r="J183" s="1"/>
      <c r="K183" s="63">
        <f>D183+E183+F183+I183</f>
        <v>1</v>
      </c>
      <c r="L183" s="1"/>
      <c r="M183" s="1"/>
      <c r="N183" s="1"/>
      <c r="O183" s="1"/>
      <c r="P183" s="1"/>
      <c r="R183" s="1"/>
      <c r="S183" s="1"/>
      <c r="T183" s="1"/>
      <c r="V183" s="1"/>
    </row>
    <row r="185" hidden="1" spans="2:2" x14ac:dyDescent="0.25">
      <c r="B185" s="2" t="s">
        <v>68</v>
      </c>
    </row>
    <row r="186" hidden="1" spans="2:6" x14ac:dyDescent="0.25">
      <c r="B186" s="1" t="s">
        <v>5</v>
      </c>
      <c r="D186" s="1" t="s">
        <v>35</v>
      </c>
      <c r="E186" s="1" t="s">
        <v>50</v>
      </c>
      <c r="F186" s="1" t="s">
        <v>25</v>
      </c>
    </row>
    <row r="187" hidden="1" spans="2:6" x14ac:dyDescent="0.25">
      <c r="B187" s="1" t="s">
        <v>47</v>
      </c>
      <c r="D187" s="58">
        <v>73000</v>
      </c>
      <c r="E187" s="59">
        <v>26000</v>
      </c>
      <c r="F187" s="59">
        <f>E187+D187</f>
        <v>99000</v>
      </c>
    </row>
    <row r="188" hidden="1" spans="2:6" x14ac:dyDescent="0.25">
      <c r="B188" s="60" t="s">
        <v>47</v>
      </c>
      <c r="C188" s="61">
        <v>82000</v>
      </c>
      <c r="D188" s="62">
        <f>D187/F187</f>
        <v>0.7373737373737373</v>
      </c>
      <c r="E188" s="62">
        <f>E187/F187</f>
        <v>0.26262626262626265</v>
      </c>
      <c r="F188" s="63">
        <f>D188+E188</f>
        <v>1</v>
      </c>
    </row>
    <row r="190" hidden="1" spans="2:2" x14ac:dyDescent="0.25">
      <c r="B190" s="2" t="s">
        <v>69</v>
      </c>
    </row>
    <row r="191" hidden="1" spans="2:17" x14ac:dyDescent="0.25">
      <c r="B191" s="1" t="s">
        <v>5</v>
      </c>
      <c r="D191" s="1" t="s">
        <v>35</v>
      </c>
      <c r="E191" s="1" t="s">
        <v>50</v>
      </c>
      <c r="F191" s="1" t="s">
        <v>54</v>
      </c>
      <c r="I191" s="1" t="s">
        <v>70</v>
      </c>
      <c r="K191" s="1" t="s">
        <v>71</v>
      </c>
      <c r="Q191" s="1" t="s">
        <v>25</v>
      </c>
    </row>
    <row r="192" hidden="1" spans="2:21" x14ac:dyDescent="0.25">
      <c r="B192" s="1" t="s">
        <v>47</v>
      </c>
      <c r="D192" s="58">
        <v>196000</v>
      </c>
      <c r="E192" s="59">
        <v>42000</v>
      </c>
      <c r="F192" s="1">
        <v>24000</v>
      </c>
      <c r="I192" s="1">
        <v>33000</v>
      </c>
      <c r="K192" s="1">
        <v>10500</v>
      </c>
      <c r="Q192" s="59">
        <f>E192+D192+F192+I192+K192</f>
        <v>305500</v>
      </c>
      <c r="U192" s="1" t="s">
        <v>25</v>
      </c>
    </row>
    <row r="193" hidden="1" spans="2:21" x14ac:dyDescent="0.25">
      <c r="B193" s="60" t="s">
        <v>47</v>
      </c>
      <c r="C193" s="61">
        <v>82000</v>
      </c>
      <c r="D193" s="62">
        <f>D192/Q192</f>
        <v>0.6415711947626841</v>
      </c>
      <c r="E193" s="62">
        <f>E192/Q192</f>
        <v>0.13747954173486088</v>
      </c>
      <c r="F193" s="62">
        <f>F192/Q192</f>
        <v>0.07855973813420622</v>
      </c>
      <c r="I193" s="62">
        <f>I192/Q192</f>
        <v>0.10801963993453355</v>
      </c>
      <c r="K193" s="62">
        <f>K192/Q192</f>
        <v>0.03436988543371522</v>
      </c>
      <c r="Q193" s="63">
        <f>D193+E193</f>
        <v>0.779050736497545</v>
      </c>
      <c r="U193" s="59">
        <f>E197+D197+F197+I197+K197+Q197+R197</f>
        <v>752000</v>
      </c>
    </row>
    <row r="194" hidden="1" spans="21:21" x14ac:dyDescent="0.25">
      <c r="U194" s="63">
        <f>D198+E198</f>
        <v>0.5132978723404256</v>
      </c>
    </row>
    <row r="195" hidden="1" spans="1:22" s="2" customFormat="1" x14ac:dyDescent="0.25">
      <c r="A195" s="1"/>
      <c r="B195" s="2" t="s">
        <v>72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V195" s="1"/>
    </row>
    <row r="196" hidden="1" spans="1:22" s="2" customFormat="1" x14ac:dyDescent="0.25">
      <c r="A196" s="1"/>
      <c r="B196" s="1" t="s">
        <v>5</v>
      </c>
      <c r="C196" s="1"/>
      <c r="D196" s="1" t="s">
        <v>35</v>
      </c>
      <c r="E196" s="1" t="s">
        <v>50</v>
      </c>
      <c r="F196" s="1" t="s">
        <v>59</v>
      </c>
      <c r="G196" s="1"/>
      <c r="H196" s="1"/>
      <c r="I196" s="1" t="s">
        <v>60</v>
      </c>
      <c r="J196" s="1"/>
      <c r="K196" s="1" t="s">
        <v>63</v>
      </c>
      <c r="L196" s="1"/>
      <c r="M196" s="1"/>
      <c r="N196" s="1"/>
      <c r="O196" s="1"/>
      <c r="P196" s="1"/>
      <c r="Q196" s="1" t="s">
        <v>70</v>
      </c>
      <c r="R196" s="1" t="s">
        <v>71</v>
      </c>
      <c r="S196" s="1"/>
      <c r="T196" s="1" t="s">
        <v>61</v>
      </c>
      <c r="V196" s="1"/>
    </row>
    <row r="197" hidden="1" spans="1:22" s="2" customFormat="1" x14ac:dyDescent="0.25">
      <c r="A197" s="1"/>
      <c r="B197" s="1" t="s">
        <v>47</v>
      </c>
      <c r="C197" s="1"/>
      <c r="D197" s="58">
        <v>330000</v>
      </c>
      <c r="E197" s="59">
        <v>56000</v>
      </c>
      <c r="F197" s="1">
        <v>172000</v>
      </c>
      <c r="G197" s="1"/>
      <c r="H197" s="1"/>
      <c r="I197" s="1">
        <v>72000</v>
      </c>
      <c r="J197" s="1"/>
      <c r="K197" s="1">
        <v>64000</v>
      </c>
      <c r="L197" s="1"/>
      <c r="M197" s="1"/>
      <c r="N197" s="1"/>
      <c r="O197" s="1"/>
      <c r="P197" s="1"/>
      <c r="Q197" s="1">
        <v>44000</v>
      </c>
      <c r="R197" s="1">
        <v>14000</v>
      </c>
      <c r="S197" s="1"/>
      <c r="T197" s="1">
        <v>0</v>
      </c>
      <c r="V197" s="1"/>
    </row>
    <row r="198" hidden="1" spans="1:22" s="2" customFormat="1" x14ac:dyDescent="0.25">
      <c r="A198" s="1"/>
      <c r="B198" s="60" t="s">
        <v>47</v>
      </c>
      <c r="C198" s="61">
        <v>82000</v>
      </c>
      <c r="D198" s="62">
        <f>D197/U193</f>
        <v>0.43882978723404253</v>
      </c>
      <c r="E198" s="62">
        <f>E197/U193</f>
        <v>0.07446808510638298</v>
      </c>
      <c r="F198" s="62">
        <f>F197/U193</f>
        <v>0.22872340425531915</v>
      </c>
      <c r="G198" s="1"/>
      <c r="H198" s="1"/>
      <c r="I198" s="62">
        <f>I197/U193</f>
        <v>0.09574468085106383</v>
      </c>
      <c r="J198" s="1"/>
      <c r="K198" s="62">
        <f>K197/U193</f>
        <v>0.0851063829787234</v>
      </c>
      <c r="L198" s="1"/>
      <c r="M198" s="1"/>
      <c r="N198" s="1"/>
      <c r="O198" s="1"/>
      <c r="P198" s="1"/>
      <c r="Q198" s="62">
        <f>Q197/U193</f>
        <v>0.05851063829787234</v>
      </c>
      <c r="R198" s="62">
        <f>R197/U193</f>
        <v>0.018617021276595744</v>
      </c>
      <c r="S198" s="62"/>
      <c r="T198" s="62">
        <f>T197/U193</f>
        <v>0</v>
      </c>
      <c r="V198" s="1"/>
    </row>
    <row r="199" hidden="1" spans="1:22" s="2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V199" s="1"/>
    </row>
    <row r="200" hidden="1" spans="1:22" s="2" customFormat="1" x14ac:dyDescent="0.25">
      <c r="A200" s="1"/>
      <c r="B200" s="2" t="s">
        <v>73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V200" s="1"/>
    </row>
    <row r="201" hidden="1" spans="1:22" s="2" customFormat="1" x14ac:dyDescent="0.25">
      <c r="A201" s="1"/>
      <c r="B201" s="1" t="s">
        <v>5</v>
      </c>
      <c r="C201" s="1"/>
      <c r="D201" s="1" t="s">
        <v>35</v>
      </c>
      <c r="E201" s="1" t="s">
        <v>59</v>
      </c>
      <c r="F201" s="1" t="s">
        <v>60</v>
      </c>
      <c r="G201" s="1"/>
      <c r="H201" s="1"/>
      <c r="I201" s="1" t="s">
        <v>61</v>
      </c>
      <c r="J201" s="1"/>
      <c r="K201" s="1"/>
      <c r="L201" s="1"/>
      <c r="M201" s="1"/>
      <c r="N201" s="1"/>
      <c r="O201" s="1"/>
      <c r="P201" s="1"/>
      <c r="Q201" s="1" t="s">
        <v>25</v>
      </c>
      <c r="R201" s="1"/>
      <c r="S201" s="1"/>
      <c r="T201" s="1"/>
      <c r="V201" s="1"/>
    </row>
    <row r="202" hidden="1" spans="1:22" s="2" customFormat="1" x14ac:dyDescent="0.25">
      <c r="A202" s="1"/>
      <c r="B202" s="1" t="s">
        <v>47</v>
      </c>
      <c r="C202" s="1"/>
      <c r="D202" s="58">
        <v>91000</v>
      </c>
      <c r="E202" s="59">
        <v>86000</v>
      </c>
      <c r="F202" s="1">
        <v>36000</v>
      </c>
      <c r="G202" s="1"/>
      <c r="H202" s="1"/>
      <c r="I202" s="1">
        <v>0</v>
      </c>
      <c r="J202" s="1"/>
      <c r="K202" s="1"/>
      <c r="L202" s="1"/>
      <c r="M202" s="1"/>
      <c r="N202" s="1"/>
      <c r="O202" s="1"/>
      <c r="P202" s="1"/>
      <c r="Q202" s="59">
        <f>E202+D202+F202+I202+K202</f>
        <v>213000</v>
      </c>
      <c r="R202" s="1"/>
      <c r="S202" s="1"/>
      <c r="T202" s="1"/>
      <c r="V202" s="1"/>
    </row>
    <row r="203" hidden="1" spans="1:22" s="2" customFormat="1" x14ac:dyDescent="0.25">
      <c r="A203" s="1"/>
      <c r="B203" s="60" t="s">
        <v>47</v>
      </c>
      <c r="C203" s="61">
        <v>82000</v>
      </c>
      <c r="D203" s="62">
        <f>D202/Q202</f>
        <v>0.4272300469483568</v>
      </c>
      <c r="E203" s="62">
        <f>E202/Q202</f>
        <v>0.40375586854460094</v>
      </c>
      <c r="F203" s="62">
        <f>F202/Q202</f>
        <v>0.16901408450704225</v>
      </c>
      <c r="G203" s="1"/>
      <c r="H203" s="1"/>
      <c r="I203" s="62">
        <f>I202/Q202</f>
        <v>0</v>
      </c>
      <c r="J203" s="1"/>
      <c r="K203" s="62">
        <f>K202/Q202</f>
        <v>0</v>
      </c>
      <c r="L203" s="1"/>
      <c r="M203" s="1"/>
      <c r="N203" s="1"/>
      <c r="O203" s="1"/>
      <c r="P203" s="1"/>
      <c r="Q203" s="63">
        <f>D203+E203</f>
        <v>0.8309859154929577</v>
      </c>
      <c r="R203" s="1"/>
      <c r="S203" s="1"/>
      <c r="T203" s="1"/>
      <c r="V203" s="1"/>
    </row>
    <row r="206" spans="1:22" s="2" customFormat="1" x14ac:dyDescent="0.25">
      <c r="A206" s="1"/>
      <c r="B206" s="2" t="s">
        <v>74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V206" s="1"/>
    </row>
    <row r="207" spans="1:22" s="2" customFormat="1" x14ac:dyDescent="0.25">
      <c r="A207" s="1"/>
      <c r="B207" s="1" t="s">
        <v>5</v>
      </c>
      <c r="C207" s="1"/>
      <c r="D207" s="1" t="s">
        <v>36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 t="s">
        <v>25</v>
      </c>
      <c r="R207" s="1"/>
      <c r="S207" s="1"/>
      <c r="T207" s="1"/>
      <c r="V207" s="1"/>
    </row>
    <row r="208" spans="1:22" s="2" customFormat="1" x14ac:dyDescent="0.25">
      <c r="A208" s="1"/>
      <c r="B208" s="1" t="s">
        <v>47</v>
      </c>
      <c r="C208" s="1"/>
      <c r="D208" s="58">
        <v>399000</v>
      </c>
      <c r="E208" s="59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59">
        <f>E208+D208+F208+I208+K208</f>
        <v>399000</v>
      </c>
      <c r="R208" s="1"/>
      <c r="S208" s="1"/>
      <c r="T208" s="1"/>
      <c r="V208" s="1"/>
    </row>
    <row r="209" spans="1:22" s="2" customFormat="1" x14ac:dyDescent="0.25">
      <c r="A209" s="1"/>
      <c r="B209" s="60" t="s">
        <v>47</v>
      </c>
      <c r="C209" s="61">
        <v>82000</v>
      </c>
      <c r="D209" s="62">
        <f>D208/Q208</f>
        <v>1</v>
      </c>
      <c r="E209" s="62">
        <f>E208/Q208</f>
        <v>0</v>
      </c>
      <c r="F209" s="62">
        <f>F208/Q208</f>
        <v>0</v>
      </c>
      <c r="G209" s="1"/>
      <c r="H209" s="1"/>
      <c r="I209" s="62">
        <f>I208/Q208</f>
        <v>0</v>
      </c>
      <c r="J209" s="1"/>
      <c r="K209" s="62">
        <f>K208/Q208</f>
        <v>0</v>
      </c>
      <c r="L209" s="1"/>
      <c r="M209" s="1"/>
      <c r="N209" s="1"/>
      <c r="O209" s="1"/>
      <c r="P209" s="1"/>
      <c r="Q209" s="63">
        <f>D209+E209</f>
        <v>1</v>
      </c>
      <c r="R209" s="1"/>
      <c r="S209" s="1"/>
      <c r="T209" s="1"/>
      <c r="V209" s="1"/>
    </row>
    <row r="212" spans="2:2" x14ac:dyDescent="0.25">
      <c r="B212" s="2" t="s">
        <v>75</v>
      </c>
    </row>
    <row r="213" spans="2:17" x14ac:dyDescent="0.25">
      <c r="B213" s="1" t="s">
        <v>5</v>
      </c>
      <c r="D213" s="1" t="s">
        <v>36</v>
      </c>
      <c r="E213" s="1" t="s">
        <v>59</v>
      </c>
      <c r="F213" s="1" t="s">
        <v>76</v>
      </c>
      <c r="I213" s="1" t="s">
        <v>61</v>
      </c>
      <c r="Q213" s="1" t="s">
        <v>25</v>
      </c>
    </row>
    <row r="214" spans="2:17" x14ac:dyDescent="0.25">
      <c r="B214" s="1" t="s">
        <v>47</v>
      </c>
      <c r="D214" s="58">
        <v>399000</v>
      </c>
      <c r="E214" s="59">
        <v>140000</v>
      </c>
      <c r="F214" s="1">
        <v>20000</v>
      </c>
      <c r="I214" s="1">
        <v>0</v>
      </c>
      <c r="Q214" s="59">
        <v>559000</v>
      </c>
    </row>
    <row r="215" spans="2:17" x14ac:dyDescent="0.25">
      <c r="B215" s="60" t="s">
        <v>47</v>
      </c>
      <c r="C215" s="61">
        <v>82000</v>
      </c>
      <c r="D215" s="62">
        <f>D214/Q214</f>
        <v>0.7137745974955277</v>
      </c>
      <c r="E215" s="62">
        <f>E214/Q214</f>
        <v>0.2504472271914132</v>
      </c>
      <c r="F215" s="62">
        <f>F214/Q214</f>
        <v>0.03577817531305903</v>
      </c>
      <c r="I215" s="62">
        <f>I214/Q214</f>
        <v>0</v>
      </c>
      <c r="K215" s="62">
        <f>K214/Q214</f>
        <v>0</v>
      </c>
      <c r="Q215" s="63">
        <f>D215+E215</f>
        <v>0.964221824686941</v>
      </c>
    </row>
    <row r="218" spans="2:2" x14ac:dyDescent="0.25">
      <c r="B218" s="2" t="s">
        <v>77</v>
      </c>
    </row>
    <row r="219" spans="2:17" x14ac:dyDescent="0.25">
      <c r="B219" s="1" t="s">
        <v>5</v>
      </c>
      <c r="D219" s="1" t="s">
        <v>36</v>
      </c>
      <c r="E219" s="1" t="s">
        <v>59</v>
      </c>
      <c r="F219" s="1" t="s">
        <v>76</v>
      </c>
      <c r="I219" s="1" t="s">
        <v>61</v>
      </c>
      <c r="K219" s="1" t="s">
        <v>78</v>
      </c>
      <c r="Q219" s="1" t="s">
        <v>25</v>
      </c>
    </row>
    <row r="220" spans="2:17" x14ac:dyDescent="0.25">
      <c r="B220" s="1" t="s">
        <v>47</v>
      </c>
      <c r="D220" s="58">
        <v>399000</v>
      </c>
      <c r="E220" s="59">
        <v>30000</v>
      </c>
      <c r="F220" s="1">
        <v>24000</v>
      </c>
      <c r="I220" s="1">
        <v>0</v>
      </c>
      <c r="K220" s="1">
        <v>266000</v>
      </c>
      <c r="Q220" s="59">
        <v>719000</v>
      </c>
    </row>
    <row r="221" spans="2:17" x14ac:dyDescent="0.25">
      <c r="B221" s="60" t="s">
        <v>47</v>
      </c>
      <c r="C221" s="61">
        <v>82000</v>
      </c>
      <c r="D221" s="62">
        <f>D220/Q220</f>
        <v>0.5549374130737135</v>
      </c>
      <c r="E221" s="62">
        <f>E220/Q220</f>
        <v>0.04172461752433936</v>
      </c>
      <c r="F221" s="62">
        <f>F220/Q220</f>
        <v>0.03337969401947149</v>
      </c>
      <c r="I221" s="62">
        <f>I220/Q220</f>
        <v>0</v>
      </c>
      <c r="K221" s="62">
        <f>K220/Q220</f>
        <v>0.36995827538247567</v>
      </c>
      <c r="Q221" s="63">
        <f>D221+E221</f>
        <v>0.5966620305980528</v>
      </c>
    </row>
    <row r="224" spans="2:2" x14ac:dyDescent="0.25">
      <c r="B224" s="2" t="s">
        <v>79</v>
      </c>
    </row>
    <row r="225" spans="2:17" x14ac:dyDescent="0.25">
      <c r="B225" s="1" t="s">
        <v>5</v>
      </c>
      <c r="D225" s="1" t="s">
        <v>36</v>
      </c>
      <c r="E225" s="1" t="s">
        <v>70</v>
      </c>
      <c r="F225" s="1" t="s">
        <v>67</v>
      </c>
      <c r="Q225" s="1" t="s">
        <v>25</v>
      </c>
    </row>
    <row r="226" spans="2:17" x14ac:dyDescent="0.25">
      <c r="B226" s="1" t="s">
        <v>47</v>
      </c>
      <c r="D226" s="58">
        <v>399000</v>
      </c>
      <c r="E226" s="59">
        <v>32000</v>
      </c>
      <c r="F226" s="1">
        <v>24000</v>
      </c>
      <c r="Q226" s="59">
        <v>455000</v>
      </c>
    </row>
    <row r="227" spans="2:17" x14ac:dyDescent="0.25">
      <c r="B227" s="60" t="s">
        <v>47</v>
      </c>
      <c r="C227" s="61">
        <v>82000</v>
      </c>
      <c r="D227" s="62">
        <f>D226/Q226</f>
        <v>0.8769230769230769</v>
      </c>
      <c r="E227" s="62">
        <f>E226/Q226</f>
        <v>0.07032967032967033</v>
      </c>
      <c r="F227" s="62">
        <f>F226/Q226</f>
        <v>0.05274725274725275</v>
      </c>
      <c r="I227" s="62">
        <f>I226/Q226</f>
        <v>0</v>
      </c>
      <c r="K227" s="62">
        <f>K226/Q226</f>
        <v>0</v>
      </c>
      <c r="Q227" s="63">
        <f>D227+E227</f>
        <v>0.9472527472527472</v>
      </c>
    </row>
    <row r="230" ht="28.5" customHeight="1" spans="2:2" x14ac:dyDescent="0.25">
      <c r="B230" s="64" t="s">
        <v>80</v>
      </c>
    </row>
    <row r="231" spans="2:9" x14ac:dyDescent="0.25">
      <c r="B231" s="1" t="s">
        <v>5</v>
      </c>
      <c r="D231" s="1" t="s">
        <v>35</v>
      </c>
      <c r="E231" s="1" t="s">
        <v>42</v>
      </c>
      <c r="I231" s="1" t="s">
        <v>81</v>
      </c>
    </row>
    <row r="232" spans="4:9" x14ac:dyDescent="0.25">
      <c r="D232" s="58">
        <v>101000</v>
      </c>
      <c r="E232" s="59">
        <v>112000</v>
      </c>
      <c r="I232" s="59">
        <f>SUM(D232:E232)</f>
        <v>213000</v>
      </c>
    </row>
    <row r="233" spans="4:5" x14ac:dyDescent="0.25">
      <c r="D233" s="57">
        <f>D232/I232</f>
        <v>0.47417840375586856</v>
      </c>
      <c r="E233" s="57">
        <f>E232/I232</f>
        <v>0.5258215962441315</v>
      </c>
    </row>
    <row r="236" spans="2:2" x14ac:dyDescent="0.25">
      <c r="B236" s="2" t="s">
        <v>82</v>
      </c>
    </row>
    <row r="237" spans="2:17" x14ac:dyDescent="0.25">
      <c r="B237" s="1" t="s">
        <v>5</v>
      </c>
      <c r="D237" s="1" t="s">
        <v>36</v>
      </c>
      <c r="E237" s="1" t="s">
        <v>83</v>
      </c>
      <c r="F237" s="1" t="s">
        <v>42</v>
      </c>
      <c r="I237" s="1" t="s">
        <v>84</v>
      </c>
      <c r="Q237" s="1" t="s">
        <v>25</v>
      </c>
    </row>
    <row r="238" spans="2:17" x14ac:dyDescent="0.25">
      <c r="B238" s="1" t="s">
        <v>47</v>
      </c>
      <c r="D238" s="58">
        <v>520000</v>
      </c>
      <c r="E238" s="59">
        <v>64000</v>
      </c>
      <c r="F238" s="1">
        <v>120000</v>
      </c>
      <c r="I238" s="1">
        <v>100000</v>
      </c>
      <c r="Q238" s="59">
        <v>804000</v>
      </c>
    </row>
    <row r="239" spans="2:17" x14ac:dyDescent="0.25">
      <c r="B239" s="60" t="s">
        <v>47</v>
      </c>
      <c r="C239" s="61">
        <v>82000</v>
      </c>
      <c r="D239" s="62">
        <f>D238/Q238</f>
        <v>0.6467661691542289</v>
      </c>
      <c r="E239" s="62">
        <f>E238/Q238</f>
        <v>0.07960199004975124</v>
      </c>
      <c r="F239" s="62">
        <f>F238/Q238</f>
        <v>0.14925373134328357</v>
      </c>
      <c r="I239" s="62">
        <f>I238/Q238</f>
        <v>0.12437810945273632</v>
      </c>
      <c r="K239" s="62">
        <f>K238/Q238</f>
        <v>0</v>
      </c>
      <c r="Q239" s="63">
        <f>D239+E239+F239+I239</f>
        <v>1</v>
      </c>
    </row>
    <row r="242" spans="2:2" x14ac:dyDescent="0.25">
      <c r="B242" s="2" t="s">
        <v>85</v>
      </c>
    </row>
    <row r="243" spans="2:17" x14ac:dyDescent="0.25">
      <c r="B243" s="1" t="s">
        <v>5</v>
      </c>
      <c r="D243" s="1" t="s">
        <v>36</v>
      </c>
      <c r="E243" s="1" t="s">
        <v>83</v>
      </c>
      <c r="Q243" s="1" t="s">
        <v>25</v>
      </c>
    </row>
    <row r="244" spans="2:17" x14ac:dyDescent="0.25">
      <c r="B244" s="1" t="s">
        <v>47</v>
      </c>
      <c r="D244" s="58">
        <v>520000</v>
      </c>
      <c r="E244" s="59">
        <v>64000</v>
      </c>
      <c r="Q244" s="59">
        <v>584000</v>
      </c>
    </row>
    <row r="245" spans="2:17" x14ac:dyDescent="0.25">
      <c r="B245" s="60" t="s">
        <v>47</v>
      </c>
      <c r="C245" s="61">
        <v>82000</v>
      </c>
      <c r="D245" s="62">
        <f>D244/Q244</f>
        <v>0.8904109589041096</v>
      </c>
      <c r="E245" s="62">
        <f>E244/Q244</f>
        <v>0.1095890410958904</v>
      </c>
      <c r="F245" s="62">
        <f>F244/Q244</f>
        <v>0</v>
      </c>
      <c r="I245" s="62">
        <f>I244/Q244</f>
        <v>0</v>
      </c>
      <c r="K245" s="62">
        <f>K244/Q244</f>
        <v>0</v>
      </c>
      <c r="Q245" s="63">
        <f>D245+E245</f>
        <v>1</v>
      </c>
    </row>
  </sheetData>
  <autoFilter ref="A3:R104"/>
  <pageMargins left="0.7" right="0.7" top="0.75" bottom="0.75" header="0.3" footer="0.3"/>
  <pageSetup paperSize="9" orientation="landscape" horizontalDpi="4294967295" verticalDpi="4294967295" scale="64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남대현</cp:lastModifiedBy>
  <cp:lastPrinted>2026-09-02T05:56:02Z</cp:lastPrinted>
  <dcterms:created xsi:type="dcterms:W3CDTF">2020-05-27T02:28:36Z</dcterms:created>
  <dcterms:modified xsi:type="dcterms:W3CDTF">2026-10-06T06:04:36Z</dcterms:modified>
</cp:coreProperties>
</file>